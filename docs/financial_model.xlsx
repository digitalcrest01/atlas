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Users" sheetId="3" state="visible" r:id="rId3"/>
    <sheet xmlns:r="http://schemas.openxmlformats.org/officeDocument/2006/relationships" name="Revenue" sheetId="4" state="visible" r:id="rId4"/>
    <sheet xmlns:r="http://schemas.openxmlformats.org/officeDocument/2006/relationships" name="Costs" sheetId="5" state="visible" r:id="rId5"/>
    <sheet xmlns:r="http://schemas.openxmlformats.org/officeDocument/2006/relationships" name="P&amp;L" sheetId="6" state="visible" r:id="rId6"/>
    <sheet xmlns:r="http://schemas.openxmlformats.org/officeDocument/2006/relationships" name="Summary" sheetId="7" state="visible" r:id="rId7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0.0%"/>
    <numFmt numFmtId="165" formatCode="\$#,##0;&quot;($&quot;#,##0\);\-"/>
    <numFmt numFmtId="166" formatCode="\$#,##0.00"/>
    <numFmt numFmtId="167" formatCode="0.0\x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F3A5F"/>
      <sz val="28"/>
    </font>
    <font>
      <name val="Arial"/>
      <charset val="1"/>
      <family val="0"/>
      <i val="1"/>
      <color rgb="FF666666"/>
      <sz val="14"/>
    </font>
    <font>
      <name val="Arial"/>
      <charset val="1"/>
      <family val="0"/>
      <b val="1"/>
      <sz val="12"/>
    </font>
    <font>
      <name val="Arial"/>
      <charset val="1"/>
      <family val="0"/>
      <b val="1"/>
      <color rgb="FF0000FF"/>
      <sz val="11"/>
    </font>
    <font>
      <name val="Arial"/>
      <charset val="1"/>
      <family val="0"/>
      <i val="1"/>
      <color rgb="FF888888"/>
      <sz val="11"/>
    </font>
    <font>
      <name val="Arial"/>
      <charset val="1"/>
      <family val="0"/>
      <b val="1"/>
      <color rgb="FF000000"/>
      <sz val="11"/>
    </font>
    <font>
      <name val="Arial"/>
      <charset val="1"/>
      <family val="0"/>
      <b val="1"/>
      <color rgb="FF1F3A5F"/>
      <sz val="11"/>
    </font>
    <font>
      <name val="Arial"/>
      <charset val="1"/>
      <family val="0"/>
      <i val="1"/>
      <color rgb="FF666666"/>
      <sz val="11"/>
    </font>
    <font>
      <name val="Arial"/>
      <charset val="1"/>
      <family val="0"/>
      <color rgb="FF0000FF"/>
      <sz val="11"/>
    </font>
    <font>
      <name val="Arial"/>
      <charset val="1"/>
      <family val="0"/>
      <color rgb="FF000000"/>
      <sz val="11"/>
    </font>
    <font>
      <name val="Arial"/>
      <charset val="1"/>
      <family val="0"/>
      <color rgb="FF008000"/>
      <sz val="11"/>
    </font>
    <font>
      <name val="Arial"/>
      <charset val="1"/>
      <family val="0"/>
      <b val="1"/>
      <color rgb="FF1F3A5F"/>
      <sz val="18"/>
    </font>
    <font>
      <name val="Arial"/>
      <charset val="1"/>
      <family val="0"/>
      <b val="1"/>
      <color rgb="FFFFFFFF"/>
      <sz val="12"/>
    </font>
    <font>
      <name val="Arial"/>
      <family val="2"/>
      <sz val="10"/>
    </font>
    <font>
      <name val="Arial"/>
      <charset val="1"/>
      <family val="0"/>
      <i val="1"/>
      <color rgb="FF666666"/>
      <sz val="10"/>
    </font>
    <font>
      <name val="Arial"/>
      <charset val="1"/>
      <family val="0"/>
      <b val="1"/>
      <color rgb="FF1F3A5F"/>
      <sz val="22"/>
    </font>
    <font>
      <name val="Arial"/>
      <charset val="1"/>
      <family val="0"/>
      <i val="1"/>
      <color rgb="FF666666"/>
      <sz val="12"/>
    </font>
    <font>
      <name val="Arial"/>
      <charset val="1"/>
      <family val="0"/>
      <color rgb="FF666666"/>
      <sz val="10"/>
    </font>
  </fonts>
  <fills count="8">
    <fill>
      <patternFill/>
    </fill>
    <fill>
      <patternFill patternType="gray125"/>
    </fill>
    <fill>
      <patternFill patternType="solid">
        <fgColor rgb="FFFFF8DC"/>
        <bgColor rgb="FFF5F5F5"/>
      </patternFill>
    </fill>
    <fill>
      <patternFill patternType="solid">
        <fgColor rgb="FF1F3A5F"/>
        <bgColor rgb="FF333333"/>
      </patternFill>
    </fill>
    <fill>
      <patternFill patternType="solid">
        <fgColor rgb="FFE8EDF3"/>
        <bgColor rgb="FFF5F5F5"/>
      </patternFill>
    </fill>
    <fill>
      <patternFill patternType="solid">
        <fgColor rgb="FFF5F5F5"/>
        <bgColor rgb="FFE8EDF3"/>
      </patternFill>
    </fill>
    <fill>
      <patternFill patternType="solid">
        <fgColor rgb="FFD4E6D4"/>
        <bgColor rgb="FFE8EDF3"/>
      </patternFill>
    </fill>
    <fill>
      <patternFill patternType="solid">
        <fgColor rgb="FFF5D6D6"/>
        <bgColor rgb="FFE8EDF3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3" fontId="12" fillId="0" borderId="0" applyAlignment="1" pivotButton="0" quotePrefix="0" xfId="0">
      <alignment horizontal="general" vertical="bottom"/>
    </xf>
    <xf numFmtId="3" fontId="9" fillId="5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9" fillId="5" borderId="0" applyAlignment="1" pivotButton="0" quotePrefix="0" xfId="0">
      <alignment horizontal="general" vertical="bottom"/>
    </xf>
    <xf numFmtId="2" fontId="12" fillId="0" borderId="0" applyAlignment="1" pivotButton="0" quotePrefix="0" xfId="0">
      <alignment horizontal="general" vertical="bottom"/>
    </xf>
    <xf numFmtId="2" fontId="9" fillId="5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  <xf numFmtId="1" fontId="9" fillId="5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3" fontId="14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7" fontId="9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5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left" vertical="center" indent="1"/>
    </xf>
    <xf numFmtId="0" fontId="9" fillId="4" borderId="0" applyAlignment="1" pivotButton="0" quotePrefix="0" xfId="0">
      <alignment horizontal="center" vertical="center"/>
    </xf>
    <xf numFmtId="0" fontId="13" fillId="0" borderId="0" applyAlignment="1" pivotButton="0" quotePrefix="0" xfId="0">
      <alignment horizontal="left" vertical="center" indent="1"/>
    </xf>
    <xf numFmtId="3" fontId="12" fillId="0" borderId="0" applyAlignment="1" pivotButton="0" quotePrefix="0" xfId="0">
      <alignment horizontal="general" vertical="bottom"/>
    </xf>
    <xf numFmtId="3" fontId="9" fillId="5" borderId="0" applyAlignment="1" pivotButton="0" quotePrefix="0" xfId="0">
      <alignment horizontal="general" vertical="bottom"/>
    </xf>
    <xf numFmtId="164" fontId="12" fillId="0" borderId="0" applyAlignment="1" pivotButton="0" quotePrefix="0" xfId="0">
      <alignment horizontal="general" vertical="bottom"/>
    </xf>
    <xf numFmtId="164" fontId="9" fillId="2" borderId="0" applyAlignment="1" pivotButton="0" quotePrefix="0" xfId="0">
      <alignment horizontal="general" vertical="bottom"/>
    </xf>
    <xf numFmtId="165" fontId="12" fillId="0" borderId="0" applyAlignment="1" pivotButton="0" quotePrefix="0" xfId="0">
      <alignment horizontal="general" vertical="bottom"/>
    </xf>
    <xf numFmtId="165" fontId="9" fillId="5" borderId="0" applyAlignment="1" pivotButton="0" quotePrefix="0" xfId="0">
      <alignment horizontal="general" vertical="bottom"/>
    </xf>
    <xf numFmtId="166" fontId="12" fillId="0" borderId="0" applyAlignment="1" pivotButton="0" quotePrefix="0" xfId="0">
      <alignment horizontal="general" vertical="bottom"/>
    </xf>
    <xf numFmtId="166" fontId="9" fillId="5" borderId="0" applyAlignment="1" pivotButton="0" quotePrefix="0" xfId="0">
      <alignment horizontal="general" vertical="bottom"/>
    </xf>
    <xf numFmtId="2" fontId="12" fillId="0" borderId="0" applyAlignment="1" pivotButton="0" quotePrefix="0" xfId="0">
      <alignment horizontal="general" vertical="bottom"/>
    </xf>
    <xf numFmtId="2" fontId="9" fillId="5" borderId="0" applyAlignment="1" pivotButton="0" quotePrefix="0" xfId="0">
      <alignment horizontal="general" vertical="bottom"/>
    </xf>
    <xf numFmtId="1" fontId="12" fillId="0" borderId="0" applyAlignment="1" pivotButton="0" quotePrefix="0" xfId="0">
      <alignment horizontal="general" vertical="bottom"/>
    </xf>
    <xf numFmtId="1" fontId="9" fillId="5" borderId="0" applyAlignment="1" pivotButton="0" quotePrefix="0" xfId="0">
      <alignment horizontal="general" vertical="bottom"/>
    </xf>
    <xf numFmtId="164" fontId="9" fillId="5" borderId="0" applyAlignment="1" pivotButton="0" quotePrefix="0" xfId="0">
      <alignment horizontal="general" vertical="bottom"/>
    </xf>
    <xf numFmtId="3" fontId="9" fillId="2" borderId="0" applyAlignment="1" pivotButton="0" quotePrefix="0" xfId="0">
      <alignment horizontal="general" vertical="bottom"/>
    </xf>
    <xf numFmtId="165" fontId="9" fillId="2" borderId="0" applyAlignment="1" pivotButton="0" quotePrefix="0" xfId="0">
      <alignment horizontal="general" vertical="bottom"/>
    </xf>
    <xf numFmtId="0" fontId="9" fillId="4" borderId="0" applyAlignment="1" pivotButton="0" quotePrefix="0" xfId="0">
      <alignment horizontal="general" vertical="bottom"/>
    </xf>
    <xf numFmtId="3" fontId="14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9" fillId="2" borderId="0" applyAlignment="1" pivotButton="0" quotePrefix="0" xfId="0">
      <alignment horizontal="general" vertical="bottom"/>
    </xf>
    <xf numFmtId="165" fontId="14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0" fontId="9" fillId="6" borderId="0" applyAlignment="1" pivotButton="0" quotePrefix="0" xfId="0">
      <alignment horizontal="general" vertical="bottom"/>
    </xf>
    <xf numFmtId="0" fontId="9" fillId="7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0" fontId="16" fillId="3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164" fontId="14" fillId="0" borderId="0" applyAlignment="1" pivotButton="0" quotePrefix="0" xfId="0">
      <alignment horizontal="general" vertical="bottom"/>
    </xf>
    <xf numFmtId="167" fontId="9" fillId="2" borderId="0" applyAlignment="1" pivotButton="0" quotePrefix="0" xfId="0">
      <alignment horizontal="general" vertical="bottom"/>
    </xf>
    <xf numFmtId="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FF8DC"/>
      <rgbColor rgb="FFE8EDF3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5F5F5"/>
      <rgbColor rgb="FFD4E6D4"/>
      <rgbColor rgb="FFFFFF99"/>
      <rgbColor rgb="FF99CCFF"/>
      <rgbColor rgb="FFFF99CC"/>
      <rgbColor rgb="FFCC99FF"/>
      <rgbColor rgb="FFF5D6D6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3A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Unknown Author</author>
  </authors>
  <commentList>
    <comment ref="A7" authorId="0" shapeId="0">
      <text>
        <t>Lower than generous-free baseline due to weaker word-of-mouth</t>
      </text>
    </comment>
    <comment ref="A8" authorId="0" shapeId="0">
      <text>
        <t>Lower than generous-free: tight wall reduces virality</t>
      </text>
    </comment>
    <comment ref="A10" authorId="0" shapeId="0">
      <text>
        <t>Higher than generous-free: App Store ranking suffers from uninstalls</t>
      </text>
    </comment>
    <comment ref="A11" authorId="0" shapeId="0">
      <text>
        <t>Half of generous-free: paywalled users don't share</t>
      </text>
    </comment>
    <comment ref="A14" authorId="0" shapeId="0">
      <text>
        <t>HIGHER than generous-free: hard wall forces decision</t>
      </text>
    </comment>
    <comment ref="A15" authorId="0" shapeId="0">
      <text>
        <t>Faster: paywall hits immediately</t>
      </text>
    </comment>
    <comment ref="A16" authorId="0" shapeId="0">
      <text>
        <t>Slightly worse: forced converters churn faster</t>
      </text>
    </comment>
    <comment ref="A17" authorId="0" shapeId="0">
      <text>
        <t>MUCH higher than generous-free: paywall = uninstall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B2:D29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30" customWidth="1" style="52" min="2" max="2"/>
    <col width="60" customWidth="1" style="52" min="3" max="3"/>
    <col width="40" customWidth="1" style="52" min="4" max="4"/>
  </cols>
  <sheetData>
    <row r="2" ht="33.85" customHeight="1" s="53">
      <c r="B2" s="54" t="inlineStr">
        <is>
          <t>MYATLASTIC</t>
        </is>
      </c>
    </row>
    <row r="3" ht="17.35" customHeight="1" s="53">
      <c r="B3" s="55" t="inlineStr">
        <is>
          <t>Interactive World Geography App — Financial Model</t>
        </is>
      </c>
    </row>
    <row r="5" ht="15" customHeight="1" s="53">
      <c r="B5" s="56" t="inlineStr">
        <is>
          <t>Monetisation: Tight free (10 countries preview) + School B2B</t>
        </is>
      </c>
    </row>
    <row r="7" ht="15" customHeight="1" s="53">
      <c r="B7" s="52" t="inlineStr">
        <is>
          <t>Model period:</t>
        </is>
      </c>
      <c r="C7" s="52" t="inlineStr">
        <is>
          <t>36 months</t>
        </is>
      </c>
    </row>
    <row r="8" ht="15" customHeight="1" s="53">
      <c r="B8" s="52" t="inlineStr">
        <is>
          <t>Base currency:</t>
        </is>
      </c>
      <c r="C8" s="52" t="inlineStr">
        <is>
          <t>USD ($)</t>
        </is>
      </c>
    </row>
    <row r="9" ht="15" customHeight="1" s="53">
      <c r="B9" s="52" t="inlineStr">
        <is>
          <t>Scenario selector:</t>
        </is>
      </c>
      <c r="C9" s="57" t="inlineStr">
        <is>
          <t>Base</t>
        </is>
      </c>
      <c r="D9" s="58" t="inlineStr">
        <is>
          <t>← Bear / Base / Bull</t>
        </is>
      </c>
    </row>
    <row r="11" ht="15" customHeight="1" s="53">
      <c r="B11" s="59" t="inlineStr">
        <is>
          <t>Sheet map:</t>
        </is>
      </c>
    </row>
    <row r="12" ht="15" customHeight="1" s="53">
      <c r="B12" s="60" t="inlineStr">
        <is>
          <t>Assumptions</t>
        </is>
      </c>
      <c r="C12" s="52" t="inlineStr">
        <is>
          <t>Drivers — edit here</t>
        </is>
      </c>
    </row>
    <row r="13" ht="15" customHeight="1" s="53">
      <c r="B13" s="60" t="inlineStr">
        <is>
          <t>Users</t>
        </is>
      </c>
      <c r="C13" s="52" t="inlineStr">
        <is>
          <t>User waterfall: installs, conversion, churn</t>
        </is>
      </c>
    </row>
    <row r="14" ht="15" customHeight="1" s="53">
      <c r="B14" s="60" t="inlineStr">
        <is>
          <t>Revenue</t>
        </is>
      </c>
      <c r="C14" s="52" t="inlineStr">
        <is>
          <t>Revenue by stream</t>
        </is>
      </c>
    </row>
    <row r="15" ht="15" customHeight="1" s="53">
      <c r="B15" s="60" t="inlineStr">
        <is>
          <t>Costs</t>
        </is>
      </c>
      <c r="C15" s="52" t="inlineStr">
        <is>
          <t>OPEX, COGS, marketing</t>
        </is>
      </c>
    </row>
    <row r="16" ht="15" customHeight="1" s="53">
      <c r="B16" s="60" t="inlineStr">
        <is>
          <t>P&amp;L</t>
        </is>
      </c>
      <c r="C16" s="52" t="inlineStr">
        <is>
          <t>Monthly P&amp;L + cumulative cash</t>
        </is>
      </c>
    </row>
    <row r="17" ht="15" customHeight="1" s="53">
      <c r="B17" s="60" t="inlineStr">
        <is>
          <t>Summary</t>
        </is>
      </c>
      <c r="C17" s="52" t="inlineStr">
        <is>
          <t>Executive summary + KPIs</t>
        </is>
      </c>
    </row>
    <row r="20" ht="15" customHeight="1" s="53">
      <c r="B20" s="59" t="inlineStr">
        <is>
          <t>Tight-free rationale:</t>
        </is>
      </c>
    </row>
    <row r="21" ht="15" customHeight="1" s="53">
      <c r="B21" s="61" t="inlineStr">
        <is>
          <t>Hard paywall at country #11. Higher per-user conversion (forced trigger),</t>
        </is>
      </c>
    </row>
    <row r="22" ht="15" customHeight="1" s="53">
      <c r="B22" s="61" t="inlineStr">
        <is>
          <t>smaller pool than generous-free, weaker virality.</t>
        </is>
      </c>
    </row>
    <row r="23" ht="15" customHeight="1" s="53">
      <c r="B23" s="61" t="inlineStr">
        <is>
          <t>Founder override applied vs. model recommendation.</t>
        </is>
      </c>
    </row>
    <row r="25" ht="15" customHeight="1" s="53">
      <c r="B25" s="59" t="inlineStr">
        <is>
          <t>Colour key:</t>
        </is>
      </c>
    </row>
    <row r="26" ht="15" customHeight="1" s="53">
      <c r="B26" s="62" t="inlineStr">
        <is>
          <t>Hardcoded input</t>
        </is>
      </c>
    </row>
    <row r="27" ht="15" customHeight="1" s="53">
      <c r="B27" s="63" t="inlineStr">
        <is>
          <t>Formula</t>
        </is>
      </c>
    </row>
    <row r="28" ht="15" customHeight="1" s="53">
      <c r="B28" s="64" t="inlineStr">
        <is>
          <t>Cross-sheet link</t>
        </is>
      </c>
    </row>
    <row r="29" ht="15" customHeight="1" s="53">
      <c r="B29" s="65" t="inlineStr">
        <is>
          <t>Key assumption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E50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5" customWidth="1" style="52" min="1" max="1"/>
    <col width="13" customWidth="1" style="52" min="2" max="5"/>
  </cols>
  <sheetData>
    <row r="1" ht="22.05" customHeight="1" s="53">
      <c r="A1" s="66" t="inlineStr">
        <is>
          <t>ASSUMPTIONS — TIGHT FREE (USD)</t>
        </is>
      </c>
    </row>
    <row r="3" ht="15" customHeight="1" s="53">
      <c r="A3" s="67" t="inlineStr">
        <is>
          <t>SCENARIO TABLE</t>
        </is>
      </c>
    </row>
    <row r="4" ht="15" customHeight="1" s="53">
      <c r="A4" s="68" t="inlineStr">
        <is>
          <t>Driver</t>
        </is>
      </c>
      <c r="B4" s="68" t="inlineStr">
        <is>
          <t>Bear</t>
        </is>
      </c>
      <c r="C4" s="68" t="inlineStr">
        <is>
          <t>Base</t>
        </is>
      </c>
      <c r="D4" s="68" t="inlineStr">
        <is>
          <t>Bull</t>
        </is>
      </c>
      <c r="E4" s="68" t="inlineStr">
        <is>
          <t>Active</t>
        </is>
      </c>
    </row>
    <row r="6" ht="15" customHeight="1" s="53">
      <c r="A6" s="67" t="inlineStr">
        <is>
          <t>USER ACQUISITION</t>
        </is>
      </c>
    </row>
    <row r="7" ht="15" customHeight="1" s="53">
      <c r="A7" s="69" t="inlineStr">
        <is>
          <t>M1 organic installs</t>
        </is>
      </c>
      <c r="B7" s="70" t="n">
        <v>150</v>
      </c>
      <c r="C7" s="70" t="n">
        <v>350</v>
      </c>
      <c r="D7" s="70" t="n">
        <v>1000</v>
      </c>
      <c r="E7" s="71">
        <f>CHOOSE(MATCH(Cover!$C$9,{"Bear","Base","Bull"},0),B7,C7,D7)</f>
        <v/>
      </c>
    </row>
    <row r="8" ht="15" customHeight="1" s="53">
      <c r="A8" s="69" t="inlineStr">
        <is>
          <t>Monthly organic growth</t>
        </is>
      </c>
      <c r="B8" s="72" t="n">
        <v>0.03</v>
      </c>
      <c r="C8" s="72" t="n">
        <v>0.08</v>
      </c>
      <c r="D8" s="72" t="n">
        <v>0.14</v>
      </c>
      <c r="E8" s="73">
        <f>CHOOSE(MATCH(Cover!$C$9,{"Bear","Base","Bull"},0),B8,C8,D8)</f>
        <v/>
      </c>
    </row>
    <row r="9" ht="15" customHeight="1" s="53">
      <c r="A9" s="69" t="inlineStr">
        <is>
          <t>Monthly paid spend ($)</t>
        </is>
      </c>
      <c r="B9" s="74" t="n">
        <v>0</v>
      </c>
      <c r="C9" s="74" t="n">
        <v>650</v>
      </c>
      <c r="D9" s="74" t="n">
        <v>2600</v>
      </c>
      <c r="E9" s="75">
        <f>CHOOSE(MATCH(Cover!$C$9,{"Bear","Base","Bull"},0),B9,C9,D9)</f>
        <v/>
      </c>
    </row>
    <row r="10" ht="15" customHeight="1" s="53">
      <c r="A10" s="69" t="inlineStr">
        <is>
          <t>Cost per install paid ($)</t>
        </is>
      </c>
      <c r="B10" s="76" t="n">
        <v>5.5</v>
      </c>
      <c r="C10" s="76" t="n">
        <v>4</v>
      </c>
      <c r="D10" s="76" t="n">
        <v>2.8</v>
      </c>
      <c r="E10" s="77">
        <f>CHOOSE(MATCH(Cover!$C$9,{"Bear","Base","Bull"},0),B10,C10,D10)</f>
        <v/>
      </c>
    </row>
    <row r="11" ht="15" customHeight="1" s="53">
      <c r="A11" s="69" t="inlineStr">
        <is>
          <t>Viral k-factor</t>
        </is>
      </c>
      <c r="B11" s="78" t="n">
        <v>0.02</v>
      </c>
      <c r="C11" s="78" t="n">
        <v>0.05</v>
      </c>
      <c r="D11" s="78" t="n">
        <v>0.1</v>
      </c>
      <c r="E11" s="79">
        <f>CHOOSE(MATCH(Cover!$C$9,{"Bear","Base","Bull"},0),B11,C11,D11)</f>
        <v/>
      </c>
    </row>
    <row r="13" ht="15" customHeight="1" s="53">
      <c r="A13" s="67" t="inlineStr">
        <is>
          <t>CONVERSION &amp; RETENTION</t>
        </is>
      </c>
    </row>
    <row r="14" ht="15" customHeight="1" s="53">
      <c r="A14" s="69" t="inlineStr">
        <is>
          <t>Free to paid conversion</t>
        </is>
      </c>
      <c r="B14" s="72" t="n">
        <v>0.03</v>
      </c>
      <c r="C14" s="72" t="n">
        <v>0.055</v>
      </c>
      <c r="D14" s="72" t="n">
        <v>0.08500000000000001</v>
      </c>
      <c r="E14" s="73">
        <f>CHOOSE(MATCH(Cover!$C$9,{"Bear","Base","Bull"},0),B14,C14,D14)</f>
        <v/>
      </c>
    </row>
    <row r="15" ht="15" customHeight="1" s="53">
      <c r="A15" s="69" t="inlineStr">
        <is>
          <t>Months to convert (avg)</t>
        </is>
      </c>
      <c r="B15" s="80" t="n">
        <v>2</v>
      </c>
      <c r="C15" s="80" t="n">
        <v>1</v>
      </c>
      <c r="D15" s="80" t="n">
        <v>1</v>
      </c>
      <c r="E15" s="81">
        <f>CHOOSE(MATCH(Cover!$C$9,{"Bear","Base","Bull"},0),B15,C15,D15)</f>
        <v/>
      </c>
    </row>
    <row r="16" ht="15" customHeight="1" s="53">
      <c r="A16" s="69" t="inlineStr">
        <is>
          <t>Monthly subscriber churn</t>
        </is>
      </c>
      <c r="B16" s="72" t="n">
        <v>0.1</v>
      </c>
      <c r="C16" s="72" t="n">
        <v>0.07000000000000001</v>
      </c>
      <c r="D16" s="72" t="n">
        <v>0.05</v>
      </c>
      <c r="E16" s="73">
        <f>CHOOSE(MATCH(Cover!$C$9,{"Bear","Base","Bull"},0),B16,C16,D16)</f>
        <v/>
      </c>
    </row>
    <row r="17" ht="15" customHeight="1" s="53">
      <c r="A17" s="69" t="inlineStr">
        <is>
          <t>Free user monthly churn</t>
        </is>
      </c>
      <c r="B17" s="72" t="n">
        <v>0.4</v>
      </c>
      <c r="C17" s="72" t="n">
        <v>0.3</v>
      </c>
      <c r="D17" s="72" t="n">
        <v>0.22</v>
      </c>
      <c r="E17" s="82">
        <f>CHOOSE(MATCH(Cover!$C$9,{"Bear","Base","Bull"},0),B17,C17,D17)</f>
        <v/>
      </c>
    </row>
    <row r="18" ht="15" customHeight="1" s="53">
      <c r="A18" s="69" t="inlineStr">
        <is>
          <t>Pct on annual plan</t>
        </is>
      </c>
      <c r="B18" s="72" t="n">
        <v>0.4</v>
      </c>
      <c r="C18" s="72" t="n">
        <v>0.55</v>
      </c>
      <c r="D18" s="72" t="n">
        <v>0.7</v>
      </c>
      <c r="E18" s="82">
        <f>CHOOSE(MATCH(Cover!$C$9,{"Bear","Base","Bull"},0),B18,C18,D18)</f>
        <v/>
      </c>
    </row>
    <row r="19" ht="15" customHeight="1" s="53">
      <c r="A19" s="69" t="inlineStr">
        <is>
          <t>Pct on family plan</t>
        </is>
      </c>
      <c r="B19" s="72" t="n">
        <v>0.1</v>
      </c>
      <c r="C19" s="72" t="n">
        <v>0.2</v>
      </c>
      <c r="D19" s="72" t="n">
        <v>0.35</v>
      </c>
      <c r="E19" s="82">
        <f>CHOOSE(MATCH(Cover!$C$9,{"Bear","Base","Bull"},0),B19,C19,D19)</f>
        <v/>
      </c>
    </row>
    <row r="21" ht="15" customHeight="1" s="53">
      <c r="A21" s="67" t="inlineStr">
        <is>
          <t>PRICING</t>
        </is>
      </c>
    </row>
    <row r="22" ht="15" customHeight="1" s="53">
      <c r="A22" s="69" t="inlineStr">
        <is>
          <t>Monthly sub ($)</t>
        </is>
      </c>
      <c r="B22" s="76" t="n">
        <v>3.99</v>
      </c>
      <c r="C22" s="76" t="n">
        <v>7.99</v>
      </c>
      <c r="D22" s="76" t="n">
        <v>9.99</v>
      </c>
      <c r="E22" s="77">
        <f>CHOOSE(MATCH(Cover!$C$9,{"Bear","Base","Bull"},0),B22,C22,D22)</f>
        <v/>
      </c>
    </row>
    <row r="23" ht="15" customHeight="1" s="53">
      <c r="A23" s="69" t="inlineStr">
        <is>
          <t>Annual sub ($)</t>
        </is>
      </c>
      <c r="B23" s="76" t="n">
        <v>24.99</v>
      </c>
      <c r="C23" s="76" t="n">
        <v>29.99</v>
      </c>
      <c r="D23" s="76" t="n">
        <v>39.99</v>
      </c>
      <c r="E23" s="77">
        <f>CHOOSE(MATCH(Cover!$C$9,{"Bear","Base","Bull"},0),B23,C23,D23)</f>
        <v/>
      </c>
    </row>
    <row r="24" ht="15" customHeight="1" s="53">
      <c r="A24" s="69" t="inlineStr">
        <is>
          <t>Family annual ($)</t>
        </is>
      </c>
      <c r="B24" s="76" t="n">
        <v>39.99</v>
      </c>
      <c r="C24" s="76" t="n">
        <v>49.99</v>
      </c>
      <c r="D24" s="76" t="n">
        <v>59.99</v>
      </c>
      <c r="E24" s="77">
        <f>CHOOSE(MATCH(Cover!$C$9,{"Bear","Base","Bull"},0),B24,C24,D24)</f>
        <v/>
      </c>
    </row>
    <row r="25" ht="15" customHeight="1" s="53">
      <c r="A25" s="69" t="inlineStr">
        <is>
          <t>School annual ($)</t>
        </is>
      </c>
      <c r="B25" s="74" t="n">
        <v>129</v>
      </c>
      <c r="C25" s="74" t="n">
        <v>199</v>
      </c>
      <c r="D25" s="74" t="n">
        <v>329</v>
      </c>
      <c r="E25" s="75">
        <f>CHOOSE(MATCH(Cover!$C$9,{"Bear","Base","Bull"},0),B25,C25,D25)</f>
        <v/>
      </c>
    </row>
    <row r="27" ht="15" customHeight="1" s="53">
      <c r="A27" s="67" t="inlineStr">
        <is>
          <t>SCHOOL B2B (starts M7)</t>
        </is>
      </c>
    </row>
    <row r="28" ht="15" customHeight="1" s="53">
      <c r="A28" s="69" t="inlineStr">
        <is>
          <t>Schools by M12</t>
        </is>
      </c>
      <c r="B28" s="70" t="n">
        <v>0</v>
      </c>
      <c r="C28" s="70" t="n">
        <v>6</v>
      </c>
      <c r="D28" s="70" t="n">
        <v>20</v>
      </c>
      <c r="E28" s="71">
        <f>CHOOSE(MATCH(Cover!$C$9,{"Bear","Base","Bull"},0),B28,C28,D28)</f>
        <v/>
      </c>
    </row>
    <row r="29" ht="15" customHeight="1" s="53">
      <c r="A29" s="69" t="inlineStr">
        <is>
          <t>Schools by M24</t>
        </is>
      </c>
      <c r="B29" s="70" t="n">
        <v>4</v>
      </c>
      <c r="C29" s="70" t="n">
        <v>30</v>
      </c>
      <c r="D29" s="70" t="n">
        <v>110</v>
      </c>
      <c r="E29" s="83">
        <f>CHOOSE(MATCH(Cover!$C$9,{"Bear","Base","Bull"},0),B29,C29,D29)</f>
        <v/>
      </c>
    </row>
    <row r="30" ht="15" customHeight="1" s="53">
      <c r="A30" s="69" t="inlineStr">
        <is>
          <t>Schools by M36</t>
        </is>
      </c>
      <c r="B30" s="70" t="n">
        <v>12</v>
      </c>
      <c r="C30" s="70" t="n">
        <v>90</v>
      </c>
      <c r="D30" s="70" t="n">
        <v>300</v>
      </c>
      <c r="E30" s="71">
        <f>CHOOSE(MATCH(Cover!$C$9,{"Bear","Base","Bull"},0),B30,C30,D30)</f>
        <v/>
      </c>
    </row>
    <row r="31" ht="15" customHeight="1" s="53">
      <c r="A31" s="69" t="inlineStr">
        <is>
          <t>School annual churn</t>
        </is>
      </c>
      <c r="B31" s="72" t="n">
        <v>0.2</v>
      </c>
      <c r="C31" s="72" t="n">
        <v>0.1</v>
      </c>
      <c r="D31" s="72" t="n">
        <v>0.05</v>
      </c>
      <c r="E31" s="82">
        <f>CHOOSE(MATCH(Cover!$C$9,{"Bear","Base","Bull"},0),B31,C31,D31)</f>
        <v/>
      </c>
    </row>
    <row r="33" ht="15" customHeight="1" s="53">
      <c r="A33" s="67" t="inlineStr">
        <is>
          <t>PLATFORM FEES</t>
        </is>
      </c>
    </row>
    <row r="34" ht="15" customHeight="1" s="53">
      <c r="A34" s="69" t="inlineStr">
        <is>
          <t>App Store fee (Y1)</t>
        </is>
      </c>
      <c r="B34" s="72" t="n">
        <v>0.15</v>
      </c>
      <c r="C34" s="72" t="n">
        <v>0.15</v>
      </c>
      <c r="D34" s="72" t="n">
        <v>0.15</v>
      </c>
      <c r="E34" s="82">
        <f>CHOOSE(MATCH(Cover!$C$9,{"Bear","Base","Bull"},0),B34,C34,D34)</f>
        <v/>
      </c>
    </row>
    <row r="35" ht="15" customHeight="1" s="53">
      <c r="A35" s="69" t="inlineStr">
        <is>
          <t>Stripe fee (school)</t>
        </is>
      </c>
      <c r="B35" s="72" t="n">
        <v>0.029</v>
      </c>
      <c r="C35" s="72" t="n">
        <v>0.029</v>
      </c>
      <c r="D35" s="72" t="n">
        <v>0.029</v>
      </c>
      <c r="E35" s="82">
        <f>CHOOSE(MATCH(Cover!$C$9,{"Bear","Base","Bull"},0),B35,C35,D35)</f>
        <v/>
      </c>
    </row>
    <row r="36" ht="15" customHeight="1" s="53">
      <c r="A36" s="69" t="inlineStr">
        <is>
          <t>Hosting per 1000 MAU ($)</t>
        </is>
      </c>
      <c r="B36" s="76" t="n">
        <v>1</v>
      </c>
      <c r="C36" s="76" t="n">
        <v>0.65</v>
      </c>
      <c r="D36" s="76" t="n">
        <v>0.4</v>
      </c>
      <c r="E36" s="77">
        <f>CHOOSE(MATCH(Cover!$C$9,{"Bear","Base","Bull"},0),B36,C36,D36)</f>
        <v/>
      </c>
    </row>
    <row r="37" ht="15" customHeight="1" s="53">
      <c r="A37" s="69" t="inlineStr">
        <is>
          <t>Content licence /mo ($)</t>
        </is>
      </c>
      <c r="B37" s="74" t="n">
        <v>250</v>
      </c>
      <c r="C37" s="74" t="n">
        <v>130</v>
      </c>
      <c r="D37" s="74" t="n">
        <v>65</v>
      </c>
      <c r="E37" s="75">
        <f>CHOOSE(MATCH(Cover!$C$9,{"Bear","Base","Bull"},0),B37,C37,D37)</f>
        <v/>
      </c>
    </row>
    <row r="39" ht="15" customHeight="1" s="53">
      <c r="A39" s="67" t="inlineStr">
        <is>
          <t>FIXED OPEX (monthly USD)</t>
        </is>
      </c>
    </row>
    <row r="40" ht="15" customHeight="1" s="53">
      <c r="A40" s="69" t="inlineStr">
        <is>
          <t>Founder salary</t>
        </is>
      </c>
      <c r="B40" s="74" t="n">
        <v>0</v>
      </c>
      <c r="C40" s="74" t="n">
        <v>3250</v>
      </c>
      <c r="D40" s="74" t="n">
        <v>6500</v>
      </c>
      <c r="E40" s="75">
        <f>CHOOSE(MATCH(Cover!$C$9,{"Bear","Base","Bull"},0),B40,C40,D40)</f>
        <v/>
      </c>
    </row>
    <row r="41" ht="15" customHeight="1" s="53">
      <c r="A41" s="69" t="inlineStr">
        <is>
          <t>Contractors</t>
        </is>
      </c>
      <c r="B41" s="74" t="n">
        <v>650</v>
      </c>
      <c r="C41" s="74" t="n">
        <v>1950</v>
      </c>
      <c r="D41" s="74" t="n">
        <v>5200</v>
      </c>
      <c r="E41" s="75">
        <f>CHOOSE(MATCH(Cover!$C$9,{"Bear","Base","Bull"},0),B41,C41,D41)</f>
        <v/>
      </c>
    </row>
    <row r="42" ht="15" customHeight="1" s="53">
      <c r="A42" s="69" t="inlineStr">
        <is>
          <t>Tools &amp; subs</t>
        </is>
      </c>
      <c r="B42" s="74" t="n">
        <v>130</v>
      </c>
      <c r="C42" s="74" t="n">
        <v>260</v>
      </c>
      <c r="D42" s="74" t="n">
        <v>520</v>
      </c>
      <c r="E42" s="75">
        <f>CHOOSE(MATCH(Cover!$C$9,{"Bear","Base","Bull"},0),B42,C42,D42)</f>
        <v/>
      </c>
    </row>
    <row r="43" ht="15" customHeight="1" s="53">
      <c r="A43" s="69" t="inlineStr">
        <is>
          <t>Legal/compliance</t>
        </is>
      </c>
      <c r="B43" s="74" t="n">
        <v>130</v>
      </c>
      <c r="C43" s="74" t="n">
        <v>390</v>
      </c>
      <c r="D43" s="74" t="n">
        <v>780</v>
      </c>
      <c r="E43" s="75">
        <f>CHOOSE(MATCH(Cover!$C$9,{"Bear","Base","Bull"},0),B43,C43,D43)</f>
        <v/>
      </c>
    </row>
    <row r="44" ht="15" customHeight="1" s="53">
      <c r="A44" s="69" t="inlineStr">
        <is>
          <t>Insurance &amp; misc</t>
        </is>
      </c>
      <c r="B44" s="74" t="n">
        <v>65</v>
      </c>
      <c r="C44" s="74" t="n">
        <v>195</v>
      </c>
      <c r="D44" s="74" t="n">
        <v>390</v>
      </c>
      <c r="E44" s="75">
        <f>CHOOSE(MATCH(Cover!$C$9,{"Bear","Base","Bull"},0),B44,C44,D44)</f>
        <v/>
      </c>
    </row>
    <row r="46" ht="15" customHeight="1" s="53">
      <c r="A46" s="67" t="inlineStr">
        <is>
          <t>ONE-OFF COSTS (M1)</t>
        </is>
      </c>
    </row>
    <row r="47" ht="15" customHeight="1" s="53">
      <c r="A47" s="69" t="inlineStr">
        <is>
          <t>App dev</t>
        </is>
      </c>
      <c r="B47" s="74" t="n">
        <v>6500</v>
      </c>
      <c r="C47" s="74" t="n">
        <v>19500</v>
      </c>
      <c r="D47" s="74" t="n">
        <v>52000</v>
      </c>
      <c r="E47" s="84">
        <f>CHOOSE(MATCH(Cover!$C$9,{"Bear","Base","Bull"},0),B47,C47,D47)</f>
        <v/>
      </c>
    </row>
    <row r="48" ht="15" customHeight="1" s="53">
      <c r="A48" s="69" t="inlineStr">
        <is>
          <t>Content production</t>
        </is>
      </c>
      <c r="B48" s="74" t="n">
        <v>1300</v>
      </c>
      <c r="C48" s="74" t="n">
        <v>3900</v>
      </c>
      <c r="D48" s="74" t="n">
        <v>10400</v>
      </c>
      <c r="E48" s="75">
        <f>CHOOSE(MATCH(Cover!$C$9,{"Bear","Base","Bull"},0),B48,C48,D48)</f>
        <v/>
      </c>
    </row>
    <row r="49" ht="15" customHeight="1" s="53">
      <c r="A49" s="69" t="inlineStr">
        <is>
          <t>Dev accounts setup</t>
        </is>
      </c>
      <c r="B49" s="74" t="n">
        <v>250</v>
      </c>
      <c r="C49" s="74" t="n">
        <v>250</v>
      </c>
      <c r="D49" s="74" t="n">
        <v>250</v>
      </c>
      <c r="E49" s="75">
        <f>CHOOSE(MATCH(Cover!$C$9,{"Bear","Base","Bull"},0),B49,C49,D49)</f>
        <v/>
      </c>
    </row>
    <row r="50" ht="15" customHeight="1" s="53">
      <c r="A50" s="69" t="inlineStr">
        <is>
          <t>Branding &amp; website</t>
        </is>
      </c>
      <c r="B50" s="74" t="n">
        <v>650</v>
      </c>
      <c r="C50" s="74" t="n">
        <v>2600</v>
      </c>
      <c r="D50" s="74" t="n">
        <v>6500</v>
      </c>
      <c r="E50" s="75">
        <f>CHOOSE(MATCH(Cover!$C$9,{"Bear","Base","Bull"},0),B50,C50,D50)</f>
        <v/>
      </c>
    </row>
  </sheetData>
  <mergeCells count="8">
    <mergeCell ref="A21:E21"/>
    <mergeCell ref="A39:E39"/>
    <mergeCell ref="A33:E33"/>
    <mergeCell ref="A46:E46"/>
    <mergeCell ref="A13:E13"/>
    <mergeCell ref="A6:E6"/>
    <mergeCell ref="A27:E27"/>
    <mergeCell ref="A3:E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AK2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52" min="1" max="1"/>
    <col width="10" customWidth="1" style="52" min="2" max="37"/>
  </cols>
  <sheetData>
    <row r="1" ht="22.05" customHeight="1" s="53">
      <c r="A1" s="66" t="inlineStr">
        <is>
          <t>USER WATERFALL</t>
        </is>
      </c>
    </row>
    <row r="3" ht="15" customHeight="1" s="53">
      <c r="A3" s="85" t="inlineStr">
        <is>
          <t>Metric</t>
        </is>
      </c>
      <c r="B3" s="68" t="inlineStr">
        <is>
          <t>M1</t>
        </is>
      </c>
      <c r="C3" s="68" t="inlineStr">
        <is>
          <t>M2</t>
        </is>
      </c>
      <c r="D3" s="68" t="inlineStr">
        <is>
          <t>M3</t>
        </is>
      </c>
      <c r="E3" s="68" t="inlineStr">
        <is>
          <t>M4</t>
        </is>
      </c>
      <c r="F3" s="68" t="inlineStr">
        <is>
          <t>M5</t>
        </is>
      </c>
      <c r="G3" s="68" t="inlineStr">
        <is>
          <t>M6</t>
        </is>
      </c>
      <c r="H3" s="68" t="inlineStr">
        <is>
          <t>M7</t>
        </is>
      </c>
      <c r="I3" s="68" t="inlineStr">
        <is>
          <t>M8</t>
        </is>
      </c>
      <c r="J3" s="68" t="inlineStr">
        <is>
          <t>M9</t>
        </is>
      </c>
      <c r="K3" s="68" t="inlineStr">
        <is>
          <t>M10</t>
        </is>
      </c>
      <c r="L3" s="68" t="inlineStr">
        <is>
          <t>M11</t>
        </is>
      </c>
      <c r="M3" s="68" t="inlineStr">
        <is>
          <t>M12</t>
        </is>
      </c>
      <c r="N3" s="68" t="inlineStr">
        <is>
          <t>M13</t>
        </is>
      </c>
      <c r="O3" s="68" t="inlineStr">
        <is>
          <t>M14</t>
        </is>
      </c>
      <c r="P3" s="68" t="inlineStr">
        <is>
          <t>M15</t>
        </is>
      </c>
      <c r="Q3" s="68" t="inlineStr">
        <is>
          <t>M16</t>
        </is>
      </c>
      <c r="R3" s="68" t="inlineStr">
        <is>
          <t>M17</t>
        </is>
      </c>
      <c r="S3" s="68" t="inlineStr">
        <is>
          <t>M18</t>
        </is>
      </c>
      <c r="T3" s="68" t="inlineStr">
        <is>
          <t>M19</t>
        </is>
      </c>
      <c r="U3" s="68" t="inlineStr">
        <is>
          <t>M20</t>
        </is>
      </c>
      <c r="V3" s="68" t="inlineStr">
        <is>
          <t>M21</t>
        </is>
      </c>
      <c r="W3" s="68" t="inlineStr">
        <is>
          <t>M22</t>
        </is>
      </c>
      <c r="X3" s="68" t="inlineStr">
        <is>
          <t>M23</t>
        </is>
      </c>
      <c r="Y3" s="68" t="inlineStr">
        <is>
          <t>M24</t>
        </is>
      </c>
      <c r="Z3" s="68" t="inlineStr">
        <is>
          <t>M25</t>
        </is>
      </c>
      <c r="AA3" s="68" t="inlineStr">
        <is>
          <t>M26</t>
        </is>
      </c>
      <c r="AB3" s="68" t="inlineStr">
        <is>
          <t>M27</t>
        </is>
      </c>
      <c r="AC3" s="68" t="inlineStr">
        <is>
          <t>M28</t>
        </is>
      </c>
      <c r="AD3" s="68" t="inlineStr">
        <is>
          <t>M29</t>
        </is>
      </c>
      <c r="AE3" s="68" t="inlineStr">
        <is>
          <t>M30</t>
        </is>
      </c>
      <c r="AF3" s="68" t="inlineStr">
        <is>
          <t>M31</t>
        </is>
      </c>
      <c r="AG3" s="68" t="inlineStr">
        <is>
          <t>M32</t>
        </is>
      </c>
      <c r="AH3" s="68" t="inlineStr">
        <is>
          <t>M33</t>
        </is>
      </c>
      <c r="AI3" s="68" t="inlineStr">
        <is>
          <t>M34</t>
        </is>
      </c>
      <c r="AJ3" s="68" t="inlineStr">
        <is>
          <t>M35</t>
        </is>
      </c>
      <c r="AK3" s="68" t="inlineStr">
        <is>
          <t>M36</t>
        </is>
      </c>
    </row>
    <row r="4" ht="15" customHeight="1" s="53">
      <c r="A4" s="52" t="inlineStr">
        <is>
          <t>New organic installs</t>
        </is>
      </c>
      <c r="B4" s="86">
        <f>Assumptions!E7</f>
        <v/>
      </c>
      <c r="C4" s="87">
        <f>B4*(1+Assumptions!$E$8)</f>
        <v/>
      </c>
      <c r="D4" s="87">
        <f>C4*(1+Assumptions!$E$8)</f>
        <v/>
      </c>
      <c r="E4" s="87">
        <f>D4*(1+Assumptions!$E$8)</f>
        <v/>
      </c>
      <c r="F4" s="87">
        <f>E4*(1+Assumptions!$E$8)</f>
        <v/>
      </c>
      <c r="G4" s="87">
        <f>F4*(1+Assumptions!$E$8)</f>
        <v/>
      </c>
      <c r="H4" s="87">
        <f>G4*(1+Assumptions!$E$8)</f>
        <v/>
      </c>
      <c r="I4" s="87">
        <f>H4*(1+Assumptions!$E$8)</f>
        <v/>
      </c>
      <c r="J4" s="87">
        <f>I4*(1+Assumptions!$E$8)</f>
        <v/>
      </c>
      <c r="K4" s="87">
        <f>J4*(1+Assumptions!$E$8)</f>
        <v/>
      </c>
      <c r="L4" s="87">
        <f>K4*(1+Assumptions!$E$8)</f>
        <v/>
      </c>
      <c r="M4" s="87">
        <f>L4*(1+Assumptions!$E$8)</f>
        <v/>
      </c>
      <c r="N4" s="87">
        <f>M4*(1+Assumptions!$E$8)</f>
        <v/>
      </c>
      <c r="O4" s="87">
        <f>N4*(1+Assumptions!$E$8)</f>
        <v/>
      </c>
      <c r="P4" s="87">
        <f>O4*(1+Assumptions!$E$8)</f>
        <v/>
      </c>
      <c r="Q4" s="87">
        <f>P4*(1+Assumptions!$E$8)</f>
        <v/>
      </c>
      <c r="R4" s="87">
        <f>Q4*(1+Assumptions!$E$8)</f>
        <v/>
      </c>
      <c r="S4" s="87">
        <f>R4*(1+Assumptions!$E$8)</f>
        <v/>
      </c>
      <c r="T4" s="87">
        <f>S4*(1+Assumptions!$E$8)</f>
        <v/>
      </c>
      <c r="U4" s="87">
        <f>T4*(1+Assumptions!$E$8)</f>
        <v/>
      </c>
      <c r="V4" s="87">
        <f>U4*(1+Assumptions!$E$8)</f>
        <v/>
      </c>
      <c r="W4" s="87">
        <f>V4*(1+Assumptions!$E$8)</f>
        <v/>
      </c>
      <c r="X4" s="87">
        <f>W4*(1+Assumptions!$E$8)</f>
        <v/>
      </c>
      <c r="Y4" s="87">
        <f>X4*(1+Assumptions!$E$8)</f>
        <v/>
      </c>
      <c r="Z4" s="87">
        <f>Y4*(1+Assumptions!$E$8)</f>
        <v/>
      </c>
      <c r="AA4" s="87">
        <f>Z4*(1+Assumptions!$E$8)</f>
        <v/>
      </c>
      <c r="AB4" s="87">
        <f>AA4*(1+Assumptions!$E$8)</f>
        <v/>
      </c>
      <c r="AC4" s="87">
        <f>AB4*(1+Assumptions!$E$8)</f>
        <v/>
      </c>
      <c r="AD4" s="87">
        <f>AC4*(1+Assumptions!$E$8)</f>
        <v/>
      </c>
      <c r="AE4" s="87">
        <f>AD4*(1+Assumptions!$E$8)</f>
        <v/>
      </c>
      <c r="AF4" s="87">
        <f>AE4*(1+Assumptions!$E$8)</f>
        <v/>
      </c>
      <c r="AG4" s="87">
        <f>AF4*(1+Assumptions!$E$8)</f>
        <v/>
      </c>
      <c r="AH4" s="87">
        <f>AG4*(1+Assumptions!$E$8)</f>
        <v/>
      </c>
      <c r="AI4" s="87">
        <f>AH4*(1+Assumptions!$E$8)</f>
        <v/>
      </c>
      <c r="AJ4" s="87">
        <f>AI4*(1+Assumptions!$E$8)</f>
        <v/>
      </c>
      <c r="AK4" s="87">
        <f>AJ4*(1+Assumptions!$E$8)</f>
        <v/>
      </c>
    </row>
    <row r="5" ht="15" customHeight="1" s="53">
      <c r="A5" s="52" t="inlineStr">
        <is>
          <t>New paid installs</t>
        </is>
      </c>
      <c r="B5" s="87">
        <f>IF(1&lt;3,0,IFERROR(Assumptions!$E$9/Assumptions!$E$10,0))</f>
        <v/>
      </c>
      <c r="C5" s="87">
        <f>IF(2&lt;3,0,IFERROR(Assumptions!$E$9/Assumptions!$E$10,0))</f>
        <v/>
      </c>
      <c r="D5" s="87">
        <f>IF(3&lt;3,0,IFERROR(Assumptions!$E$9/Assumptions!$E$10,0))</f>
        <v/>
      </c>
      <c r="E5" s="87">
        <f>IF(4&lt;3,0,IFERROR(Assumptions!$E$9/Assumptions!$E$10,0))</f>
        <v/>
      </c>
      <c r="F5" s="87">
        <f>IF(5&lt;3,0,IFERROR(Assumptions!$E$9/Assumptions!$E$10,0))</f>
        <v/>
      </c>
      <c r="G5" s="87">
        <f>IF(6&lt;3,0,IFERROR(Assumptions!$E$9/Assumptions!$E$10,0))</f>
        <v/>
      </c>
      <c r="H5" s="87">
        <f>IF(7&lt;3,0,IFERROR(Assumptions!$E$9/Assumptions!$E$10,0))</f>
        <v/>
      </c>
      <c r="I5" s="87">
        <f>IF(8&lt;3,0,IFERROR(Assumptions!$E$9/Assumptions!$E$10,0))</f>
        <v/>
      </c>
      <c r="J5" s="87">
        <f>IF(9&lt;3,0,IFERROR(Assumptions!$E$9/Assumptions!$E$10,0))</f>
        <v/>
      </c>
      <c r="K5" s="87">
        <f>IF(10&lt;3,0,IFERROR(Assumptions!$E$9/Assumptions!$E$10,0))</f>
        <v/>
      </c>
      <c r="L5" s="87">
        <f>IF(11&lt;3,0,IFERROR(Assumptions!$E$9/Assumptions!$E$10,0))</f>
        <v/>
      </c>
      <c r="M5" s="87">
        <f>IF(12&lt;3,0,IFERROR(Assumptions!$E$9/Assumptions!$E$10,0))</f>
        <v/>
      </c>
      <c r="N5" s="87">
        <f>IF(13&lt;3,0,IFERROR(Assumptions!$E$9/Assumptions!$E$10,0))</f>
        <v/>
      </c>
      <c r="O5" s="87">
        <f>IF(14&lt;3,0,IFERROR(Assumptions!$E$9/Assumptions!$E$10,0))</f>
        <v/>
      </c>
      <c r="P5" s="87">
        <f>IF(15&lt;3,0,IFERROR(Assumptions!$E$9/Assumptions!$E$10,0))</f>
        <v/>
      </c>
      <c r="Q5" s="87">
        <f>IF(16&lt;3,0,IFERROR(Assumptions!$E$9/Assumptions!$E$10,0))</f>
        <v/>
      </c>
      <c r="R5" s="87">
        <f>IF(17&lt;3,0,IFERROR(Assumptions!$E$9/Assumptions!$E$10,0))</f>
        <v/>
      </c>
      <c r="S5" s="87">
        <f>IF(18&lt;3,0,IFERROR(Assumptions!$E$9/Assumptions!$E$10,0))</f>
        <v/>
      </c>
      <c r="T5" s="87">
        <f>IF(19&lt;3,0,IFERROR(Assumptions!$E$9/Assumptions!$E$10,0))</f>
        <v/>
      </c>
      <c r="U5" s="87">
        <f>IF(20&lt;3,0,IFERROR(Assumptions!$E$9/Assumptions!$E$10,0))</f>
        <v/>
      </c>
      <c r="V5" s="87">
        <f>IF(21&lt;3,0,IFERROR(Assumptions!$E$9/Assumptions!$E$10,0))</f>
        <v/>
      </c>
      <c r="W5" s="87">
        <f>IF(22&lt;3,0,IFERROR(Assumptions!$E$9/Assumptions!$E$10,0))</f>
        <v/>
      </c>
      <c r="X5" s="87">
        <f>IF(23&lt;3,0,IFERROR(Assumptions!$E$9/Assumptions!$E$10,0))</f>
        <v/>
      </c>
      <c r="Y5" s="87">
        <f>IF(24&lt;3,0,IFERROR(Assumptions!$E$9/Assumptions!$E$10,0))</f>
        <v/>
      </c>
      <c r="Z5" s="87">
        <f>IF(25&lt;3,0,IFERROR(Assumptions!$E$9/Assumptions!$E$10,0))</f>
        <v/>
      </c>
      <c r="AA5" s="87">
        <f>IF(26&lt;3,0,IFERROR(Assumptions!$E$9/Assumptions!$E$10,0))</f>
        <v/>
      </c>
      <c r="AB5" s="87">
        <f>IF(27&lt;3,0,IFERROR(Assumptions!$E$9/Assumptions!$E$10,0))</f>
        <v/>
      </c>
      <c r="AC5" s="87">
        <f>IF(28&lt;3,0,IFERROR(Assumptions!$E$9/Assumptions!$E$10,0))</f>
        <v/>
      </c>
      <c r="AD5" s="87">
        <f>IF(29&lt;3,0,IFERROR(Assumptions!$E$9/Assumptions!$E$10,0))</f>
        <v/>
      </c>
      <c r="AE5" s="87">
        <f>IF(30&lt;3,0,IFERROR(Assumptions!$E$9/Assumptions!$E$10,0))</f>
        <v/>
      </c>
      <c r="AF5" s="87">
        <f>IF(31&lt;3,0,IFERROR(Assumptions!$E$9/Assumptions!$E$10,0))</f>
        <v/>
      </c>
      <c r="AG5" s="87">
        <f>IF(32&lt;3,0,IFERROR(Assumptions!$E$9/Assumptions!$E$10,0))</f>
        <v/>
      </c>
      <c r="AH5" s="87">
        <f>IF(33&lt;3,0,IFERROR(Assumptions!$E$9/Assumptions!$E$10,0))</f>
        <v/>
      </c>
      <c r="AI5" s="87">
        <f>IF(34&lt;3,0,IFERROR(Assumptions!$E$9/Assumptions!$E$10,0))</f>
        <v/>
      </c>
      <c r="AJ5" s="87">
        <f>IF(35&lt;3,0,IFERROR(Assumptions!$E$9/Assumptions!$E$10,0))</f>
        <v/>
      </c>
      <c r="AK5" s="87">
        <f>IF(36&lt;3,0,IFERROR(Assumptions!$E$9/Assumptions!$E$10,0))</f>
        <v/>
      </c>
    </row>
    <row r="6" ht="15" customHeight="1" s="53">
      <c r="A6" s="52" t="inlineStr">
        <is>
          <t>Viral installs</t>
        </is>
      </c>
      <c r="B6" s="87" t="n">
        <v>0</v>
      </c>
      <c r="C6" s="87">
        <f>(B4+B5)*Assumptions!$E$11</f>
        <v/>
      </c>
      <c r="D6" s="87">
        <f>(C4+C5)*Assumptions!$E$11</f>
        <v/>
      </c>
      <c r="E6" s="87">
        <f>(D4+D5)*Assumptions!$E$11</f>
        <v/>
      </c>
      <c r="F6" s="87">
        <f>(E4+E5)*Assumptions!$E$11</f>
        <v/>
      </c>
      <c r="G6" s="87">
        <f>(F4+F5)*Assumptions!$E$11</f>
        <v/>
      </c>
      <c r="H6" s="87">
        <f>(G4+G5)*Assumptions!$E$11</f>
        <v/>
      </c>
      <c r="I6" s="87">
        <f>(H4+H5)*Assumptions!$E$11</f>
        <v/>
      </c>
      <c r="J6" s="87">
        <f>(I4+I5)*Assumptions!$E$11</f>
        <v/>
      </c>
      <c r="K6" s="87">
        <f>(J4+J5)*Assumptions!$E$11</f>
        <v/>
      </c>
      <c r="L6" s="87">
        <f>(K4+K5)*Assumptions!$E$11</f>
        <v/>
      </c>
      <c r="M6" s="87">
        <f>(L4+L5)*Assumptions!$E$11</f>
        <v/>
      </c>
      <c r="N6" s="87">
        <f>(M4+M5)*Assumptions!$E$11</f>
        <v/>
      </c>
      <c r="O6" s="87">
        <f>(N4+N5)*Assumptions!$E$11</f>
        <v/>
      </c>
      <c r="P6" s="87">
        <f>(O4+O5)*Assumptions!$E$11</f>
        <v/>
      </c>
      <c r="Q6" s="87">
        <f>(P4+P5)*Assumptions!$E$11</f>
        <v/>
      </c>
      <c r="R6" s="87">
        <f>(Q4+Q5)*Assumptions!$E$11</f>
        <v/>
      </c>
      <c r="S6" s="87">
        <f>(R4+R5)*Assumptions!$E$11</f>
        <v/>
      </c>
      <c r="T6" s="87">
        <f>(S4+S5)*Assumptions!$E$11</f>
        <v/>
      </c>
      <c r="U6" s="87">
        <f>(T4+T5)*Assumptions!$E$11</f>
        <v/>
      </c>
      <c r="V6" s="87">
        <f>(U4+U5)*Assumptions!$E$11</f>
        <v/>
      </c>
      <c r="W6" s="87">
        <f>(V4+V5)*Assumptions!$E$11</f>
        <v/>
      </c>
      <c r="X6" s="87">
        <f>(W4+W5)*Assumptions!$E$11</f>
        <v/>
      </c>
      <c r="Y6" s="87">
        <f>(X4+X5)*Assumptions!$E$11</f>
        <v/>
      </c>
      <c r="Z6" s="87">
        <f>(Y4+Y5)*Assumptions!$E$11</f>
        <v/>
      </c>
      <c r="AA6" s="87">
        <f>(Z4+Z5)*Assumptions!$E$11</f>
        <v/>
      </c>
      <c r="AB6" s="87">
        <f>(AA4+AA5)*Assumptions!$E$11</f>
        <v/>
      </c>
      <c r="AC6" s="87">
        <f>(AB4+AB5)*Assumptions!$E$11</f>
        <v/>
      </c>
      <c r="AD6" s="87">
        <f>(AC4+AC5)*Assumptions!$E$11</f>
        <v/>
      </c>
      <c r="AE6" s="87">
        <f>(AD4+AD5)*Assumptions!$E$11</f>
        <v/>
      </c>
      <c r="AF6" s="87">
        <f>(AE4+AE5)*Assumptions!$E$11</f>
        <v/>
      </c>
      <c r="AG6" s="87">
        <f>(AF4+AF5)*Assumptions!$E$11</f>
        <v/>
      </c>
      <c r="AH6" s="87">
        <f>(AG4+AG5)*Assumptions!$E$11</f>
        <v/>
      </c>
      <c r="AI6" s="87">
        <f>(AH4+AH5)*Assumptions!$E$11</f>
        <v/>
      </c>
      <c r="AJ6" s="87">
        <f>(AI4+AI5)*Assumptions!$E$11</f>
        <v/>
      </c>
      <c r="AK6" s="87">
        <f>(AJ4+AJ5)*Assumptions!$E$11</f>
        <v/>
      </c>
    </row>
    <row r="7" ht="15" customHeight="1" s="53">
      <c r="A7" s="59" t="inlineStr">
        <is>
          <t>Total new installs</t>
        </is>
      </c>
      <c r="B7" s="88">
        <f>SUM(B4:B6)</f>
        <v/>
      </c>
      <c r="C7" s="88">
        <f>SUM(C4:C6)</f>
        <v/>
      </c>
      <c r="D7" s="88">
        <f>SUM(D4:D6)</f>
        <v/>
      </c>
      <c r="E7" s="88">
        <f>SUM(E4:E6)</f>
        <v/>
      </c>
      <c r="F7" s="88">
        <f>SUM(F4:F6)</f>
        <v/>
      </c>
      <c r="G7" s="88">
        <f>SUM(G4:G6)</f>
        <v/>
      </c>
      <c r="H7" s="88">
        <f>SUM(H4:H6)</f>
        <v/>
      </c>
      <c r="I7" s="88">
        <f>SUM(I4:I6)</f>
        <v/>
      </c>
      <c r="J7" s="88">
        <f>SUM(J4:J6)</f>
        <v/>
      </c>
      <c r="K7" s="88">
        <f>SUM(K4:K6)</f>
        <v/>
      </c>
      <c r="L7" s="88">
        <f>SUM(L4:L6)</f>
        <v/>
      </c>
      <c r="M7" s="88">
        <f>SUM(M4:M6)</f>
        <v/>
      </c>
      <c r="N7" s="88">
        <f>SUM(N4:N6)</f>
        <v/>
      </c>
      <c r="O7" s="88">
        <f>SUM(O4:O6)</f>
        <v/>
      </c>
      <c r="P7" s="88">
        <f>SUM(P4:P6)</f>
        <v/>
      </c>
      <c r="Q7" s="88">
        <f>SUM(Q4:Q6)</f>
        <v/>
      </c>
      <c r="R7" s="88">
        <f>SUM(R4:R6)</f>
        <v/>
      </c>
      <c r="S7" s="88">
        <f>SUM(S4:S6)</f>
        <v/>
      </c>
      <c r="T7" s="88">
        <f>SUM(T4:T6)</f>
        <v/>
      </c>
      <c r="U7" s="88">
        <f>SUM(U4:U6)</f>
        <v/>
      </c>
      <c r="V7" s="88">
        <f>SUM(V4:V6)</f>
        <v/>
      </c>
      <c r="W7" s="88">
        <f>SUM(W4:W6)</f>
        <v/>
      </c>
      <c r="X7" s="88">
        <f>SUM(X4:X6)</f>
        <v/>
      </c>
      <c r="Y7" s="88">
        <f>SUM(Y4:Y6)</f>
        <v/>
      </c>
      <c r="Z7" s="88">
        <f>SUM(Z4:Z6)</f>
        <v/>
      </c>
      <c r="AA7" s="88">
        <f>SUM(AA4:AA6)</f>
        <v/>
      </c>
      <c r="AB7" s="88">
        <f>SUM(AB4:AB6)</f>
        <v/>
      </c>
      <c r="AC7" s="88">
        <f>SUM(AC4:AC6)</f>
        <v/>
      </c>
      <c r="AD7" s="88">
        <f>SUM(AD4:AD6)</f>
        <v/>
      </c>
      <c r="AE7" s="88">
        <f>SUM(AE4:AE6)</f>
        <v/>
      </c>
      <c r="AF7" s="88">
        <f>SUM(AF4:AF6)</f>
        <v/>
      </c>
      <c r="AG7" s="88">
        <f>SUM(AG4:AG6)</f>
        <v/>
      </c>
      <c r="AH7" s="88">
        <f>SUM(AH4:AH6)</f>
        <v/>
      </c>
      <c r="AI7" s="88">
        <f>SUM(AI4:AI6)</f>
        <v/>
      </c>
      <c r="AJ7" s="88">
        <f>SUM(AJ4:AJ6)</f>
        <v/>
      </c>
      <c r="AK7" s="88">
        <f>SUM(AK4:AK6)</f>
        <v/>
      </c>
    </row>
    <row r="9" ht="15" customHeight="1" s="53">
      <c r="A9" s="85" t="inlineStr">
        <is>
          <t>Free users active</t>
        </is>
      </c>
      <c r="B9" s="88">
        <f>B7-B12</f>
        <v/>
      </c>
      <c r="C9" s="88">
        <f>(B9*(1-Assumptions!$E$17))+C7-C12</f>
        <v/>
      </c>
      <c r="D9" s="88">
        <f>(C9*(1-Assumptions!$E$17))+D7-D12</f>
        <v/>
      </c>
      <c r="E9" s="88">
        <f>(D9*(1-Assumptions!$E$17))+E7-E12</f>
        <v/>
      </c>
      <c r="F9" s="88">
        <f>(E9*(1-Assumptions!$E$17))+F7-F12</f>
        <v/>
      </c>
      <c r="G9" s="88">
        <f>(F9*(1-Assumptions!$E$17))+G7-G12</f>
        <v/>
      </c>
      <c r="H9" s="88">
        <f>(G9*(1-Assumptions!$E$17))+H7-H12</f>
        <v/>
      </c>
      <c r="I9" s="88">
        <f>(H9*(1-Assumptions!$E$17))+I7-I12</f>
        <v/>
      </c>
      <c r="J9" s="88">
        <f>(I9*(1-Assumptions!$E$17))+J7-J12</f>
        <v/>
      </c>
      <c r="K9" s="88">
        <f>(J9*(1-Assumptions!$E$17))+K7-K12</f>
        <v/>
      </c>
      <c r="L9" s="88">
        <f>(K9*(1-Assumptions!$E$17))+L7-L12</f>
        <v/>
      </c>
      <c r="M9" s="88">
        <f>(L9*(1-Assumptions!$E$17))+M7-M12</f>
        <v/>
      </c>
      <c r="N9" s="88">
        <f>(M9*(1-Assumptions!$E$17))+N7-N12</f>
        <v/>
      </c>
      <c r="O9" s="88">
        <f>(N9*(1-Assumptions!$E$17))+O7-O12</f>
        <v/>
      </c>
      <c r="P9" s="88">
        <f>(O9*(1-Assumptions!$E$17))+P7-P12</f>
        <v/>
      </c>
      <c r="Q9" s="88">
        <f>(P9*(1-Assumptions!$E$17))+Q7-Q12</f>
        <v/>
      </c>
      <c r="R9" s="88">
        <f>(Q9*(1-Assumptions!$E$17))+R7-R12</f>
        <v/>
      </c>
      <c r="S9" s="88">
        <f>(R9*(1-Assumptions!$E$17))+S7-S12</f>
        <v/>
      </c>
      <c r="T9" s="88">
        <f>(S9*(1-Assumptions!$E$17))+T7-T12</f>
        <v/>
      </c>
      <c r="U9" s="88">
        <f>(T9*(1-Assumptions!$E$17))+U7-U12</f>
        <v/>
      </c>
      <c r="V9" s="88">
        <f>(U9*(1-Assumptions!$E$17))+V7-V12</f>
        <v/>
      </c>
      <c r="W9" s="88">
        <f>(V9*(1-Assumptions!$E$17))+W7-W12</f>
        <v/>
      </c>
      <c r="X9" s="88">
        <f>(W9*(1-Assumptions!$E$17))+X7-X12</f>
        <v/>
      </c>
      <c r="Y9" s="88">
        <f>(X9*(1-Assumptions!$E$17))+Y7-Y12</f>
        <v/>
      </c>
      <c r="Z9" s="88">
        <f>(Y9*(1-Assumptions!$E$17))+Z7-Z12</f>
        <v/>
      </c>
      <c r="AA9" s="88">
        <f>(Z9*(1-Assumptions!$E$17))+AA7-AA12</f>
        <v/>
      </c>
      <c r="AB9" s="88">
        <f>(AA9*(1-Assumptions!$E$17))+AB7-AB12</f>
        <v/>
      </c>
      <c r="AC9" s="88">
        <f>(AB9*(1-Assumptions!$E$17))+AC7-AC12</f>
        <v/>
      </c>
      <c r="AD9" s="88">
        <f>(AC9*(1-Assumptions!$E$17))+AD7-AD12</f>
        <v/>
      </c>
      <c r="AE9" s="88">
        <f>(AD9*(1-Assumptions!$E$17))+AE7-AE12</f>
        <v/>
      </c>
      <c r="AF9" s="88">
        <f>(AE9*(1-Assumptions!$E$17))+AF7-AF12</f>
        <v/>
      </c>
      <c r="AG9" s="88">
        <f>(AF9*(1-Assumptions!$E$17))+AG7-AG12</f>
        <v/>
      </c>
      <c r="AH9" s="88">
        <f>(AG9*(1-Assumptions!$E$17))+AH7-AH12</f>
        <v/>
      </c>
      <c r="AI9" s="88">
        <f>(AH9*(1-Assumptions!$E$17))+AI7-AI12</f>
        <v/>
      </c>
      <c r="AJ9" s="88">
        <f>(AI9*(1-Assumptions!$E$17))+AJ7-AJ12</f>
        <v/>
      </c>
      <c r="AK9" s="88">
        <f>(AJ9*(1-Assumptions!$E$17))+AK7-AK12</f>
        <v/>
      </c>
    </row>
    <row r="11" ht="15" customHeight="1" s="53">
      <c r="A11" s="89" t="inlineStr">
        <is>
          <t>Conversion pool</t>
        </is>
      </c>
      <c r="B11" s="87" t="n">
        <v>0</v>
      </c>
      <c r="C11" s="87">
        <f>B9</f>
        <v/>
      </c>
      <c r="D11" s="87">
        <f>C9</f>
        <v/>
      </c>
      <c r="E11" s="87">
        <f>D9</f>
        <v/>
      </c>
      <c r="F11" s="87">
        <f>E9</f>
        <v/>
      </c>
      <c r="G11" s="87">
        <f>F9</f>
        <v/>
      </c>
      <c r="H11" s="87">
        <f>G9</f>
        <v/>
      </c>
      <c r="I11" s="87">
        <f>H9</f>
        <v/>
      </c>
      <c r="J11" s="87">
        <f>I9</f>
        <v/>
      </c>
      <c r="K11" s="87">
        <f>J9</f>
        <v/>
      </c>
      <c r="L11" s="87">
        <f>K9</f>
        <v/>
      </c>
      <c r="M11" s="87">
        <f>L9</f>
        <v/>
      </c>
      <c r="N11" s="87">
        <f>M9</f>
        <v/>
      </c>
      <c r="O11" s="87">
        <f>N9</f>
        <v/>
      </c>
      <c r="P11" s="87">
        <f>O9</f>
        <v/>
      </c>
      <c r="Q11" s="87">
        <f>P9</f>
        <v/>
      </c>
      <c r="R11" s="87">
        <f>Q9</f>
        <v/>
      </c>
      <c r="S11" s="87">
        <f>R9</f>
        <v/>
      </c>
      <c r="T11" s="87">
        <f>S9</f>
        <v/>
      </c>
      <c r="U11" s="87">
        <f>T9</f>
        <v/>
      </c>
      <c r="V11" s="87">
        <f>U9</f>
        <v/>
      </c>
      <c r="W11" s="87">
        <f>V9</f>
        <v/>
      </c>
      <c r="X11" s="87">
        <f>W9</f>
        <v/>
      </c>
      <c r="Y11" s="87">
        <f>X9</f>
        <v/>
      </c>
      <c r="Z11" s="87">
        <f>Y9</f>
        <v/>
      </c>
      <c r="AA11" s="87">
        <f>Z9</f>
        <v/>
      </c>
      <c r="AB11" s="87">
        <f>AA9</f>
        <v/>
      </c>
      <c r="AC11" s="87">
        <f>AB9</f>
        <v/>
      </c>
      <c r="AD11" s="87">
        <f>AC9</f>
        <v/>
      </c>
      <c r="AE11" s="87">
        <f>AD9</f>
        <v/>
      </c>
      <c r="AF11" s="87">
        <f>AE9</f>
        <v/>
      </c>
      <c r="AG11" s="87">
        <f>AF9</f>
        <v/>
      </c>
      <c r="AH11" s="87">
        <f>AG9</f>
        <v/>
      </c>
      <c r="AI11" s="87">
        <f>AH9</f>
        <v/>
      </c>
      <c r="AJ11" s="87">
        <f>AI9</f>
        <v/>
      </c>
      <c r="AK11" s="87">
        <f>AJ9</f>
        <v/>
      </c>
    </row>
    <row r="12" ht="15" customHeight="1" s="53">
      <c r="A12" s="52" t="inlineStr">
        <is>
          <t>New paid conversions</t>
        </is>
      </c>
      <c r="B12" s="87">
        <f>B11*Assumptions!$E$14</f>
        <v/>
      </c>
      <c r="C12" s="87">
        <f>C11*Assumptions!$E$14</f>
        <v/>
      </c>
      <c r="D12" s="87">
        <f>D11*Assumptions!$E$14</f>
        <v/>
      </c>
      <c r="E12" s="87">
        <f>E11*Assumptions!$E$14</f>
        <v/>
      </c>
      <c r="F12" s="87">
        <f>F11*Assumptions!$E$14</f>
        <v/>
      </c>
      <c r="G12" s="87">
        <f>G11*Assumptions!$E$14</f>
        <v/>
      </c>
      <c r="H12" s="87">
        <f>H11*Assumptions!$E$14</f>
        <v/>
      </c>
      <c r="I12" s="87">
        <f>I11*Assumptions!$E$14</f>
        <v/>
      </c>
      <c r="J12" s="87">
        <f>J11*Assumptions!$E$14</f>
        <v/>
      </c>
      <c r="K12" s="87">
        <f>K11*Assumptions!$E$14</f>
        <v/>
      </c>
      <c r="L12" s="87">
        <f>L11*Assumptions!$E$14</f>
        <v/>
      </c>
      <c r="M12" s="87">
        <f>M11*Assumptions!$E$14</f>
        <v/>
      </c>
      <c r="N12" s="87">
        <f>N11*Assumptions!$E$14</f>
        <v/>
      </c>
      <c r="O12" s="87">
        <f>O11*Assumptions!$E$14</f>
        <v/>
      </c>
      <c r="P12" s="87">
        <f>P11*Assumptions!$E$14</f>
        <v/>
      </c>
      <c r="Q12" s="87">
        <f>Q11*Assumptions!$E$14</f>
        <v/>
      </c>
      <c r="R12" s="87">
        <f>R11*Assumptions!$E$14</f>
        <v/>
      </c>
      <c r="S12" s="87">
        <f>S11*Assumptions!$E$14</f>
        <v/>
      </c>
      <c r="T12" s="87">
        <f>T11*Assumptions!$E$14</f>
        <v/>
      </c>
      <c r="U12" s="87">
        <f>U11*Assumptions!$E$14</f>
        <v/>
      </c>
      <c r="V12" s="87">
        <f>V11*Assumptions!$E$14</f>
        <v/>
      </c>
      <c r="W12" s="87">
        <f>W11*Assumptions!$E$14</f>
        <v/>
      </c>
      <c r="X12" s="87">
        <f>X11*Assumptions!$E$14</f>
        <v/>
      </c>
      <c r="Y12" s="87">
        <f>Y11*Assumptions!$E$14</f>
        <v/>
      </c>
      <c r="Z12" s="87">
        <f>Z11*Assumptions!$E$14</f>
        <v/>
      </c>
      <c r="AA12" s="87">
        <f>AA11*Assumptions!$E$14</f>
        <v/>
      </c>
      <c r="AB12" s="87">
        <f>AB11*Assumptions!$E$14</f>
        <v/>
      </c>
      <c r="AC12" s="87">
        <f>AC11*Assumptions!$E$14</f>
        <v/>
      </c>
      <c r="AD12" s="87">
        <f>AD11*Assumptions!$E$14</f>
        <v/>
      </c>
      <c r="AE12" s="87">
        <f>AE11*Assumptions!$E$14</f>
        <v/>
      </c>
      <c r="AF12" s="87">
        <f>AF11*Assumptions!$E$14</f>
        <v/>
      </c>
      <c r="AG12" s="87">
        <f>AG11*Assumptions!$E$14</f>
        <v/>
      </c>
      <c r="AH12" s="87">
        <f>AH11*Assumptions!$E$14</f>
        <v/>
      </c>
      <c r="AI12" s="87">
        <f>AI11*Assumptions!$E$14</f>
        <v/>
      </c>
      <c r="AJ12" s="87">
        <f>AJ11*Assumptions!$E$14</f>
        <v/>
      </c>
      <c r="AK12" s="87">
        <f>AK11*Assumptions!$E$14</f>
        <v/>
      </c>
    </row>
    <row r="14" ht="15" customHeight="1" s="53">
      <c r="A14" s="85" t="inlineStr">
        <is>
          <t>Paid subscribers total</t>
        </is>
      </c>
      <c r="B14" s="88">
        <f>B12</f>
        <v/>
      </c>
      <c r="C14" s="88">
        <f>(B14*(1-Assumptions!$E$16))+C12</f>
        <v/>
      </c>
      <c r="D14" s="88">
        <f>(C14*(1-Assumptions!$E$16))+D12</f>
        <v/>
      </c>
      <c r="E14" s="88">
        <f>(D14*(1-Assumptions!$E$16))+E12</f>
        <v/>
      </c>
      <c r="F14" s="88">
        <f>(E14*(1-Assumptions!$E$16))+F12</f>
        <v/>
      </c>
      <c r="G14" s="88">
        <f>(F14*(1-Assumptions!$E$16))+G12</f>
        <v/>
      </c>
      <c r="H14" s="88">
        <f>(G14*(1-Assumptions!$E$16))+H12</f>
        <v/>
      </c>
      <c r="I14" s="88">
        <f>(H14*(1-Assumptions!$E$16))+I12</f>
        <v/>
      </c>
      <c r="J14" s="88">
        <f>(I14*(1-Assumptions!$E$16))+J12</f>
        <v/>
      </c>
      <c r="K14" s="88">
        <f>(J14*(1-Assumptions!$E$16))+K12</f>
        <v/>
      </c>
      <c r="L14" s="88">
        <f>(K14*(1-Assumptions!$E$16))+L12</f>
        <v/>
      </c>
      <c r="M14" s="88">
        <f>(L14*(1-Assumptions!$E$16))+M12</f>
        <v/>
      </c>
      <c r="N14" s="88">
        <f>(M14*(1-Assumptions!$E$16))+N12</f>
        <v/>
      </c>
      <c r="O14" s="88">
        <f>(N14*(1-Assumptions!$E$16))+O12</f>
        <v/>
      </c>
      <c r="P14" s="88">
        <f>(O14*(1-Assumptions!$E$16))+P12</f>
        <v/>
      </c>
      <c r="Q14" s="88">
        <f>(P14*(1-Assumptions!$E$16))+Q12</f>
        <v/>
      </c>
      <c r="R14" s="88">
        <f>(Q14*(1-Assumptions!$E$16))+R12</f>
        <v/>
      </c>
      <c r="S14" s="88">
        <f>(R14*(1-Assumptions!$E$16))+S12</f>
        <v/>
      </c>
      <c r="T14" s="88">
        <f>(S14*(1-Assumptions!$E$16))+T12</f>
        <v/>
      </c>
      <c r="U14" s="88">
        <f>(T14*(1-Assumptions!$E$16))+U12</f>
        <v/>
      </c>
      <c r="V14" s="88">
        <f>(U14*(1-Assumptions!$E$16))+V12</f>
        <v/>
      </c>
      <c r="W14" s="88">
        <f>(V14*(1-Assumptions!$E$16))+W12</f>
        <v/>
      </c>
      <c r="X14" s="88">
        <f>(W14*(1-Assumptions!$E$16))+X12</f>
        <v/>
      </c>
      <c r="Y14" s="88">
        <f>(X14*(1-Assumptions!$E$16))+Y12</f>
        <v/>
      </c>
      <c r="Z14" s="88">
        <f>(Y14*(1-Assumptions!$E$16))+Z12</f>
        <v/>
      </c>
      <c r="AA14" s="88">
        <f>(Z14*(1-Assumptions!$E$16))+AA12</f>
        <v/>
      </c>
      <c r="AB14" s="88">
        <f>(AA14*(1-Assumptions!$E$16))+AB12</f>
        <v/>
      </c>
      <c r="AC14" s="88">
        <f>(AB14*(1-Assumptions!$E$16))+AC12</f>
        <v/>
      </c>
      <c r="AD14" s="88">
        <f>(AC14*(1-Assumptions!$E$16))+AD12</f>
        <v/>
      </c>
      <c r="AE14" s="88">
        <f>(AD14*(1-Assumptions!$E$16))+AE12</f>
        <v/>
      </c>
      <c r="AF14" s="88">
        <f>(AE14*(1-Assumptions!$E$16))+AF12</f>
        <v/>
      </c>
      <c r="AG14" s="88">
        <f>(AF14*(1-Assumptions!$E$16))+AG12</f>
        <v/>
      </c>
      <c r="AH14" s="88">
        <f>(AG14*(1-Assumptions!$E$16))+AH12</f>
        <v/>
      </c>
      <c r="AI14" s="88">
        <f>(AH14*(1-Assumptions!$E$16))+AI12</f>
        <v/>
      </c>
      <c r="AJ14" s="88">
        <f>(AI14*(1-Assumptions!$E$16))+AJ12</f>
        <v/>
      </c>
      <c r="AK14" s="88">
        <f>(AJ14*(1-Assumptions!$E$16))+AK12</f>
        <v/>
      </c>
    </row>
    <row r="15" ht="15" customHeight="1" s="53">
      <c r="A15" s="52" t="inlineStr">
        <is>
          <t xml:space="preserve">  on monthly plan</t>
        </is>
      </c>
      <c r="B15" s="87">
        <f>B14*(1-Assumptions!$E$18)*(1-Assumptions!$E$19)</f>
        <v/>
      </c>
      <c r="C15" s="87">
        <f>C14*(1-Assumptions!$E$18)*(1-Assumptions!$E$19)</f>
        <v/>
      </c>
      <c r="D15" s="87">
        <f>D14*(1-Assumptions!$E$18)*(1-Assumptions!$E$19)</f>
        <v/>
      </c>
      <c r="E15" s="87">
        <f>E14*(1-Assumptions!$E$18)*(1-Assumptions!$E$19)</f>
        <v/>
      </c>
      <c r="F15" s="87">
        <f>F14*(1-Assumptions!$E$18)*(1-Assumptions!$E$19)</f>
        <v/>
      </c>
      <c r="G15" s="87">
        <f>G14*(1-Assumptions!$E$18)*(1-Assumptions!$E$19)</f>
        <v/>
      </c>
      <c r="H15" s="87">
        <f>H14*(1-Assumptions!$E$18)*(1-Assumptions!$E$19)</f>
        <v/>
      </c>
      <c r="I15" s="87">
        <f>I14*(1-Assumptions!$E$18)*(1-Assumptions!$E$19)</f>
        <v/>
      </c>
      <c r="J15" s="87">
        <f>J14*(1-Assumptions!$E$18)*(1-Assumptions!$E$19)</f>
        <v/>
      </c>
      <c r="K15" s="87">
        <f>K14*(1-Assumptions!$E$18)*(1-Assumptions!$E$19)</f>
        <v/>
      </c>
      <c r="L15" s="87">
        <f>L14*(1-Assumptions!$E$18)*(1-Assumptions!$E$19)</f>
        <v/>
      </c>
      <c r="M15" s="87">
        <f>M14*(1-Assumptions!$E$18)*(1-Assumptions!$E$19)</f>
        <v/>
      </c>
      <c r="N15" s="87">
        <f>N14*(1-Assumptions!$E$18)*(1-Assumptions!$E$19)</f>
        <v/>
      </c>
      <c r="O15" s="87">
        <f>O14*(1-Assumptions!$E$18)*(1-Assumptions!$E$19)</f>
        <v/>
      </c>
      <c r="P15" s="87">
        <f>P14*(1-Assumptions!$E$18)*(1-Assumptions!$E$19)</f>
        <v/>
      </c>
      <c r="Q15" s="87">
        <f>Q14*(1-Assumptions!$E$18)*(1-Assumptions!$E$19)</f>
        <v/>
      </c>
      <c r="R15" s="87">
        <f>R14*(1-Assumptions!$E$18)*(1-Assumptions!$E$19)</f>
        <v/>
      </c>
      <c r="S15" s="87">
        <f>S14*(1-Assumptions!$E$18)*(1-Assumptions!$E$19)</f>
        <v/>
      </c>
      <c r="T15" s="87">
        <f>T14*(1-Assumptions!$E$18)*(1-Assumptions!$E$19)</f>
        <v/>
      </c>
      <c r="U15" s="87">
        <f>U14*(1-Assumptions!$E$18)*(1-Assumptions!$E$19)</f>
        <v/>
      </c>
      <c r="V15" s="87">
        <f>V14*(1-Assumptions!$E$18)*(1-Assumptions!$E$19)</f>
        <v/>
      </c>
      <c r="W15" s="87">
        <f>W14*(1-Assumptions!$E$18)*(1-Assumptions!$E$19)</f>
        <v/>
      </c>
      <c r="X15" s="87">
        <f>X14*(1-Assumptions!$E$18)*(1-Assumptions!$E$19)</f>
        <v/>
      </c>
      <c r="Y15" s="87">
        <f>Y14*(1-Assumptions!$E$18)*(1-Assumptions!$E$19)</f>
        <v/>
      </c>
      <c r="Z15" s="87">
        <f>Z14*(1-Assumptions!$E$18)*(1-Assumptions!$E$19)</f>
        <v/>
      </c>
      <c r="AA15" s="87">
        <f>AA14*(1-Assumptions!$E$18)*(1-Assumptions!$E$19)</f>
        <v/>
      </c>
      <c r="AB15" s="87">
        <f>AB14*(1-Assumptions!$E$18)*(1-Assumptions!$E$19)</f>
        <v/>
      </c>
      <c r="AC15" s="87">
        <f>AC14*(1-Assumptions!$E$18)*(1-Assumptions!$E$19)</f>
        <v/>
      </c>
      <c r="AD15" s="87">
        <f>AD14*(1-Assumptions!$E$18)*(1-Assumptions!$E$19)</f>
        <v/>
      </c>
      <c r="AE15" s="87">
        <f>AE14*(1-Assumptions!$E$18)*(1-Assumptions!$E$19)</f>
        <v/>
      </c>
      <c r="AF15" s="87">
        <f>AF14*(1-Assumptions!$E$18)*(1-Assumptions!$E$19)</f>
        <v/>
      </c>
      <c r="AG15" s="87">
        <f>AG14*(1-Assumptions!$E$18)*(1-Assumptions!$E$19)</f>
        <v/>
      </c>
      <c r="AH15" s="87">
        <f>AH14*(1-Assumptions!$E$18)*(1-Assumptions!$E$19)</f>
        <v/>
      </c>
      <c r="AI15" s="87">
        <f>AI14*(1-Assumptions!$E$18)*(1-Assumptions!$E$19)</f>
        <v/>
      </c>
      <c r="AJ15" s="87">
        <f>AJ14*(1-Assumptions!$E$18)*(1-Assumptions!$E$19)</f>
        <v/>
      </c>
      <c r="AK15" s="87">
        <f>AK14*(1-Assumptions!$E$18)*(1-Assumptions!$E$19)</f>
        <v/>
      </c>
    </row>
    <row r="16" ht="15" customHeight="1" s="53">
      <c r="A16" s="52" t="inlineStr">
        <is>
          <t xml:space="preserve">  on annual plan</t>
        </is>
      </c>
      <c r="B16" s="87">
        <f>B14*Assumptions!$E$18*(1-Assumptions!$E$19)</f>
        <v/>
      </c>
      <c r="C16" s="87">
        <f>C14*Assumptions!$E$18*(1-Assumptions!$E$19)</f>
        <v/>
      </c>
      <c r="D16" s="87">
        <f>D14*Assumptions!$E$18*(1-Assumptions!$E$19)</f>
        <v/>
      </c>
      <c r="E16" s="87">
        <f>E14*Assumptions!$E$18*(1-Assumptions!$E$19)</f>
        <v/>
      </c>
      <c r="F16" s="87">
        <f>F14*Assumptions!$E$18*(1-Assumptions!$E$19)</f>
        <v/>
      </c>
      <c r="G16" s="87">
        <f>G14*Assumptions!$E$18*(1-Assumptions!$E$19)</f>
        <v/>
      </c>
      <c r="H16" s="87">
        <f>H14*Assumptions!$E$18*(1-Assumptions!$E$19)</f>
        <v/>
      </c>
      <c r="I16" s="87">
        <f>I14*Assumptions!$E$18*(1-Assumptions!$E$19)</f>
        <v/>
      </c>
      <c r="J16" s="87">
        <f>J14*Assumptions!$E$18*(1-Assumptions!$E$19)</f>
        <v/>
      </c>
      <c r="K16" s="87">
        <f>K14*Assumptions!$E$18*(1-Assumptions!$E$19)</f>
        <v/>
      </c>
      <c r="L16" s="87">
        <f>L14*Assumptions!$E$18*(1-Assumptions!$E$19)</f>
        <v/>
      </c>
      <c r="M16" s="87">
        <f>M14*Assumptions!$E$18*(1-Assumptions!$E$19)</f>
        <v/>
      </c>
      <c r="N16" s="87">
        <f>N14*Assumptions!$E$18*(1-Assumptions!$E$19)</f>
        <v/>
      </c>
      <c r="O16" s="87">
        <f>O14*Assumptions!$E$18*(1-Assumptions!$E$19)</f>
        <v/>
      </c>
      <c r="P16" s="87">
        <f>P14*Assumptions!$E$18*(1-Assumptions!$E$19)</f>
        <v/>
      </c>
      <c r="Q16" s="87">
        <f>Q14*Assumptions!$E$18*(1-Assumptions!$E$19)</f>
        <v/>
      </c>
      <c r="R16" s="87">
        <f>R14*Assumptions!$E$18*(1-Assumptions!$E$19)</f>
        <v/>
      </c>
      <c r="S16" s="87">
        <f>S14*Assumptions!$E$18*(1-Assumptions!$E$19)</f>
        <v/>
      </c>
      <c r="T16" s="87">
        <f>T14*Assumptions!$E$18*(1-Assumptions!$E$19)</f>
        <v/>
      </c>
      <c r="U16" s="87">
        <f>U14*Assumptions!$E$18*(1-Assumptions!$E$19)</f>
        <v/>
      </c>
      <c r="V16" s="87">
        <f>V14*Assumptions!$E$18*(1-Assumptions!$E$19)</f>
        <v/>
      </c>
      <c r="W16" s="87">
        <f>W14*Assumptions!$E$18*(1-Assumptions!$E$19)</f>
        <v/>
      </c>
      <c r="X16" s="87">
        <f>X14*Assumptions!$E$18*(1-Assumptions!$E$19)</f>
        <v/>
      </c>
      <c r="Y16" s="87">
        <f>Y14*Assumptions!$E$18*(1-Assumptions!$E$19)</f>
        <v/>
      </c>
      <c r="Z16" s="87">
        <f>Z14*Assumptions!$E$18*(1-Assumptions!$E$19)</f>
        <v/>
      </c>
      <c r="AA16" s="87">
        <f>AA14*Assumptions!$E$18*(1-Assumptions!$E$19)</f>
        <v/>
      </c>
      <c r="AB16" s="87">
        <f>AB14*Assumptions!$E$18*(1-Assumptions!$E$19)</f>
        <v/>
      </c>
      <c r="AC16" s="87">
        <f>AC14*Assumptions!$E$18*(1-Assumptions!$E$19)</f>
        <v/>
      </c>
      <c r="AD16" s="87">
        <f>AD14*Assumptions!$E$18*(1-Assumptions!$E$19)</f>
        <v/>
      </c>
      <c r="AE16" s="87">
        <f>AE14*Assumptions!$E$18*(1-Assumptions!$E$19)</f>
        <v/>
      </c>
      <c r="AF16" s="87">
        <f>AF14*Assumptions!$E$18*(1-Assumptions!$E$19)</f>
        <v/>
      </c>
      <c r="AG16" s="87">
        <f>AG14*Assumptions!$E$18*(1-Assumptions!$E$19)</f>
        <v/>
      </c>
      <c r="AH16" s="87">
        <f>AH14*Assumptions!$E$18*(1-Assumptions!$E$19)</f>
        <v/>
      </c>
      <c r="AI16" s="87">
        <f>AI14*Assumptions!$E$18*(1-Assumptions!$E$19)</f>
        <v/>
      </c>
      <c r="AJ16" s="87">
        <f>AJ14*Assumptions!$E$18*(1-Assumptions!$E$19)</f>
        <v/>
      </c>
      <c r="AK16" s="87">
        <f>AK14*Assumptions!$E$18*(1-Assumptions!$E$19)</f>
        <v/>
      </c>
    </row>
    <row r="17" ht="15" customHeight="1" s="53">
      <c r="A17" s="52" t="inlineStr">
        <is>
          <t xml:space="preserve">  on family plan</t>
        </is>
      </c>
      <c r="B17" s="87">
        <f>B14*Assumptions!$E$19</f>
        <v/>
      </c>
      <c r="C17" s="87">
        <f>C14*Assumptions!$E$19</f>
        <v/>
      </c>
      <c r="D17" s="87">
        <f>D14*Assumptions!$E$19</f>
        <v/>
      </c>
      <c r="E17" s="87">
        <f>E14*Assumptions!$E$19</f>
        <v/>
      </c>
      <c r="F17" s="87">
        <f>F14*Assumptions!$E$19</f>
        <v/>
      </c>
      <c r="G17" s="87">
        <f>G14*Assumptions!$E$19</f>
        <v/>
      </c>
      <c r="H17" s="87">
        <f>H14*Assumptions!$E$19</f>
        <v/>
      </c>
      <c r="I17" s="87">
        <f>I14*Assumptions!$E$19</f>
        <v/>
      </c>
      <c r="J17" s="87">
        <f>J14*Assumptions!$E$19</f>
        <v/>
      </c>
      <c r="K17" s="87">
        <f>K14*Assumptions!$E$19</f>
        <v/>
      </c>
      <c r="L17" s="87">
        <f>L14*Assumptions!$E$19</f>
        <v/>
      </c>
      <c r="M17" s="87">
        <f>M14*Assumptions!$E$19</f>
        <v/>
      </c>
      <c r="N17" s="87">
        <f>N14*Assumptions!$E$19</f>
        <v/>
      </c>
      <c r="O17" s="87">
        <f>O14*Assumptions!$E$19</f>
        <v/>
      </c>
      <c r="P17" s="87">
        <f>P14*Assumptions!$E$19</f>
        <v/>
      </c>
      <c r="Q17" s="87">
        <f>Q14*Assumptions!$E$19</f>
        <v/>
      </c>
      <c r="R17" s="87">
        <f>R14*Assumptions!$E$19</f>
        <v/>
      </c>
      <c r="S17" s="87">
        <f>S14*Assumptions!$E$19</f>
        <v/>
      </c>
      <c r="T17" s="87">
        <f>T14*Assumptions!$E$19</f>
        <v/>
      </c>
      <c r="U17" s="87">
        <f>U14*Assumptions!$E$19</f>
        <v/>
      </c>
      <c r="V17" s="87">
        <f>V14*Assumptions!$E$19</f>
        <v/>
      </c>
      <c r="W17" s="87">
        <f>W14*Assumptions!$E$19</f>
        <v/>
      </c>
      <c r="X17" s="87">
        <f>X14*Assumptions!$E$19</f>
        <v/>
      </c>
      <c r="Y17" s="87">
        <f>Y14*Assumptions!$E$19</f>
        <v/>
      </c>
      <c r="Z17" s="87">
        <f>Z14*Assumptions!$E$19</f>
        <v/>
      </c>
      <c r="AA17" s="87">
        <f>AA14*Assumptions!$E$19</f>
        <v/>
      </c>
      <c r="AB17" s="87">
        <f>AB14*Assumptions!$E$19</f>
        <v/>
      </c>
      <c r="AC17" s="87">
        <f>AC14*Assumptions!$E$19</f>
        <v/>
      </c>
      <c r="AD17" s="87">
        <f>AD14*Assumptions!$E$19</f>
        <v/>
      </c>
      <c r="AE17" s="87">
        <f>AE14*Assumptions!$E$19</f>
        <v/>
      </c>
      <c r="AF17" s="87">
        <f>AF14*Assumptions!$E$19</f>
        <v/>
      </c>
      <c r="AG17" s="87">
        <f>AG14*Assumptions!$E$19</f>
        <v/>
      </c>
      <c r="AH17" s="87">
        <f>AH14*Assumptions!$E$19</f>
        <v/>
      </c>
      <c r="AI17" s="87">
        <f>AI14*Assumptions!$E$19</f>
        <v/>
      </c>
      <c r="AJ17" s="87">
        <f>AJ14*Assumptions!$E$19</f>
        <v/>
      </c>
      <c r="AK17" s="87">
        <f>AK14*Assumptions!$E$19</f>
        <v/>
      </c>
    </row>
    <row r="19" ht="15" customHeight="1" s="53">
      <c r="A19" s="85" t="inlineStr">
        <is>
          <t>Schools cumulative</t>
        </is>
      </c>
      <c r="B19" s="88" t="n">
        <v>0</v>
      </c>
      <c r="C19" s="88" t="n">
        <v>0</v>
      </c>
      <c r="D19" s="88" t="n">
        <v>0</v>
      </c>
      <c r="E19" s="88" t="n">
        <v>0</v>
      </c>
      <c r="F19" s="88" t="n">
        <v>0</v>
      </c>
      <c r="G19" s="88" t="n">
        <v>0</v>
      </c>
      <c r="H19" s="88">
        <f>ROUND(Assumptions!$E$28*(7-6)/6,0)</f>
        <v/>
      </c>
      <c r="I19" s="88">
        <f>ROUND(Assumptions!$E$28*(8-6)/6,0)</f>
        <v/>
      </c>
      <c r="J19" s="88">
        <f>ROUND(Assumptions!$E$28*(9-6)/6,0)</f>
        <v/>
      </c>
      <c r="K19" s="88">
        <f>ROUND(Assumptions!$E$28*(10-6)/6,0)</f>
        <v/>
      </c>
      <c r="L19" s="88">
        <f>ROUND(Assumptions!$E$28*(11-6)/6,0)</f>
        <v/>
      </c>
      <c r="M19" s="88">
        <f>ROUND(Assumptions!$E$28*(12-6)/6,0)</f>
        <v/>
      </c>
      <c r="N19" s="88">
        <f>ROUND(Assumptions!$E$28+(Assumptions!$E$29-Assumptions!$E$28)*(13-12)/12,0)</f>
        <v/>
      </c>
      <c r="O19" s="88">
        <f>ROUND(Assumptions!$E$28+(Assumptions!$E$29-Assumptions!$E$28)*(14-12)/12,0)</f>
        <v/>
      </c>
      <c r="P19" s="88">
        <f>ROUND(Assumptions!$E$28+(Assumptions!$E$29-Assumptions!$E$28)*(15-12)/12,0)</f>
        <v/>
      </c>
      <c r="Q19" s="88">
        <f>ROUND(Assumptions!$E$28+(Assumptions!$E$29-Assumptions!$E$28)*(16-12)/12,0)</f>
        <v/>
      </c>
      <c r="R19" s="88">
        <f>ROUND(Assumptions!$E$28+(Assumptions!$E$29-Assumptions!$E$28)*(17-12)/12,0)</f>
        <v/>
      </c>
      <c r="S19" s="88">
        <f>ROUND(Assumptions!$E$28+(Assumptions!$E$29-Assumptions!$E$28)*(18-12)/12,0)</f>
        <v/>
      </c>
      <c r="T19" s="88">
        <f>ROUND(Assumptions!$E$28+(Assumptions!$E$29-Assumptions!$E$28)*(19-12)/12,0)</f>
        <v/>
      </c>
      <c r="U19" s="88">
        <f>ROUND(Assumptions!$E$28+(Assumptions!$E$29-Assumptions!$E$28)*(20-12)/12,0)</f>
        <v/>
      </c>
      <c r="V19" s="88">
        <f>ROUND(Assumptions!$E$28+(Assumptions!$E$29-Assumptions!$E$28)*(21-12)/12,0)</f>
        <v/>
      </c>
      <c r="W19" s="88">
        <f>ROUND(Assumptions!$E$28+(Assumptions!$E$29-Assumptions!$E$28)*(22-12)/12,0)</f>
        <v/>
      </c>
      <c r="X19" s="88">
        <f>ROUND(Assumptions!$E$28+(Assumptions!$E$29-Assumptions!$E$28)*(23-12)/12,0)</f>
        <v/>
      </c>
      <c r="Y19" s="88">
        <f>ROUND(Assumptions!$E$28+(Assumptions!$E$29-Assumptions!$E$28)*(24-12)/12,0)</f>
        <v/>
      </c>
      <c r="Z19" s="88">
        <f>ROUND(Assumptions!$E$29+(Assumptions!$E$30-Assumptions!$E$29)*(25-24)/12,0)</f>
        <v/>
      </c>
      <c r="AA19" s="88">
        <f>ROUND(Assumptions!$E$29+(Assumptions!$E$30-Assumptions!$E$29)*(26-24)/12,0)</f>
        <v/>
      </c>
      <c r="AB19" s="88">
        <f>ROUND(Assumptions!$E$29+(Assumptions!$E$30-Assumptions!$E$29)*(27-24)/12,0)</f>
        <v/>
      </c>
      <c r="AC19" s="88">
        <f>ROUND(Assumptions!$E$29+(Assumptions!$E$30-Assumptions!$E$29)*(28-24)/12,0)</f>
        <v/>
      </c>
      <c r="AD19" s="88">
        <f>ROUND(Assumptions!$E$29+(Assumptions!$E$30-Assumptions!$E$29)*(29-24)/12,0)</f>
        <v/>
      </c>
      <c r="AE19" s="88">
        <f>ROUND(Assumptions!$E$29+(Assumptions!$E$30-Assumptions!$E$29)*(30-24)/12,0)</f>
        <v/>
      </c>
      <c r="AF19" s="88">
        <f>ROUND(Assumptions!$E$29+(Assumptions!$E$30-Assumptions!$E$29)*(31-24)/12,0)</f>
        <v/>
      </c>
      <c r="AG19" s="88">
        <f>ROUND(Assumptions!$E$29+(Assumptions!$E$30-Assumptions!$E$29)*(32-24)/12,0)</f>
        <v/>
      </c>
      <c r="AH19" s="88">
        <f>ROUND(Assumptions!$E$29+(Assumptions!$E$30-Assumptions!$E$29)*(33-24)/12,0)</f>
        <v/>
      </c>
      <c r="AI19" s="88">
        <f>ROUND(Assumptions!$E$29+(Assumptions!$E$30-Assumptions!$E$29)*(34-24)/12,0)</f>
        <v/>
      </c>
      <c r="AJ19" s="88">
        <f>ROUND(Assumptions!$E$29+(Assumptions!$E$30-Assumptions!$E$29)*(35-24)/12,0)</f>
        <v/>
      </c>
      <c r="AK19" s="88">
        <f>ROUND(Assumptions!$E$29+(Assumptions!$E$30-Assumptions!$E$29)*(36-24)/12,0)</f>
        <v/>
      </c>
    </row>
    <row r="21" ht="15" customHeight="1" s="53">
      <c r="A21" s="90" t="inlineStr">
        <is>
          <t>TOTAL USERS</t>
        </is>
      </c>
      <c r="B21" s="88">
        <f>B9+B14</f>
        <v/>
      </c>
      <c r="C21" s="88">
        <f>C9+C14</f>
        <v/>
      </c>
      <c r="D21" s="88">
        <f>D9+D14</f>
        <v/>
      </c>
      <c r="E21" s="88">
        <f>E9+E14</f>
        <v/>
      </c>
      <c r="F21" s="88">
        <f>F9+F14</f>
        <v/>
      </c>
      <c r="G21" s="88">
        <f>G9+G14</f>
        <v/>
      </c>
      <c r="H21" s="88">
        <f>H9+H14</f>
        <v/>
      </c>
      <c r="I21" s="88">
        <f>I9+I14</f>
        <v/>
      </c>
      <c r="J21" s="88">
        <f>J9+J14</f>
        <v/>
      </c>
      <c r="K21" s="88">
        <f>K9+K14</f>
        <v/>
      </c>
      <c r="L21" s="88">
        <f>L9+L14</f>
        <v/>
      </c>
      <c r="M21" s="88">
        <f>M9+M14</f>
        <v/>
      </c>
      <c r="N21" s="88">
        <f>N9+N14</f>
        <v/>
      </c>
      <c r="O21" s="88">
        <f>O9+O14</f>
        <v/>
      </c>
      <c r="P21" s="88">
        <f>P9+P14</f>
        <v/>
      </c>
      <c r="Q21" s="88">
        <f>Q9+Q14</f>
        <v/>
      </c>
      <c r="R21" s="88">
        <f>R9+R14</f>
        <v/>
      </c>
      <c r="S21" s="88">
        <f>S9+S14</f>
        <v/>
      </c>
      <c r="T21" s="88">
        <f>T9+T14</f>
        <v/>
      </c>
      <c r="U21" s="88">
        <f>U9+U14</f>
        <v/>
      </c>
      <c r="V21" s="88">
        <f>V9+V14</f>
        <v/>
      </c>
      <c r="W21" s="88">
        <f>W9+W14</f>
        <v/>
      </c>
      <c r="X21" s="88">
        <f>X9+X14</f>
        <v/>
      </c>
      <c r="Y21" s="88">
        <f>Y9+Y14</f>
        <v/>
      </c>
      <c r="Z21" s="88">
        <f>Z9+Z14</f>
        <v/>
      </c>
      <c r="AA21" s="88">
        <f>AA9+AA14</f>
        <v/>
      </c>
      <c r="AB21" s="88">
        <f>AB9+AB14</f>
        <v/>
      </c>
      <c r="AC21" s="88">
        <f>AC9+AC14</f>
        <v/>
      </c>
      <c r="AD21" s="88">
        <f>AD9+AD14</f>
        <v/>
      </c>
      <c r="AE21" s="88">
        <f>AE9+AE14</f>
        <v/>
      </c>
      <c r="AF21" s="88">
        <f>AF9+AF14</f>
        <v/>
      </c>
      <c r="AG21" s="88">
        <f>AG9+AG14</f>
        <v/>
      </c>
      <c r="AH21" s="88">
        <f>AH9+AH14</f>
        <v/>
      </c>
      <c r="AI21" s="88">
        <f>AI9+AI14</f>
        <v/>
      </c>
      <c r="AJ21" s="88">
        <f>AJ9+AJ14</f>
        <v/>
      </c>
      <c r="AK21" s="88">
        <f>AK9+AK14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K1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52" min="1" max="1"/>
    <col width="10" customWidth="1" style="52" min="2" max="37"/>
  </cols>
  <sheetData>
    <row r="1" ht="22.05" customHeight="1" s="53">
      <c r="A1" s="66" t="inlineStr">
        <is>
          <t>REVENUE (USD)</t>
        </is>
      </c>
    </row>
    <row r="3" ht="15" customHeight="1" s="53">
      <c r="A3" s="85" t="inlineStr">
        <is>
          <t>Stream</t>
        </is>
      </c>
      <c r="B3" s="68" t="inlineStr">
        <is>
          <t>M1</t>
        </is>
      </c>
      <c r="C3" s="68" t="inlineStr">
        <is>
          <t>M2</t>
        </is>
      </c>
      <c r="D3" s="68" t="inlineStr">
        <is>
          <t>M3</t>
        </is>
      </c>
      <c r="E3" s="68" t="inlineStr">
        <is>
          <t>M4</t>
        </is>
      </c>
      <c r="F3" s="68" t="inlineStr">
        <is>
          <t>M5</t>
        </is>
      </c>
      <c r="G3" s="68" t="inlineStr">
        <is>
          <t>M6</t>
        </is>
      </c>
      <c r="H3" s="68" t="inlineStr">
        <is>
          <t>M7</t>
        </is>
      </c>
      <c r="I3" s="68" t="inlineStr">
        <is>
          <t>M8</t>
        </is>
      </c>
      <c r="J3" s="68" t="inlineStr">
        <is>
          <t>M9</t>
        </is>
      </c>
      <c r="K3" s="68" t="inlineStr">
        <is>
          <t>M10</t>
        </is>
      </c>
      <c r="L3" s="68" t="inlineStr">
        <is>
          <t>M11</t>
        </is>
      </c>
      <c r="M3" s="68" t="inlineStr">
        <is>
          <t>M12</t>
        </is>
      </c>
      <c r="N3" s="68" t="inlineStr">
        <is>
          <t>M13</t>
        </is>
      </c>
      <c r="O3" s="68" t="inlineStr">
        <is>
          <t>M14</t>
        </is>
      </c>
      <c r="P3" s="68" t="inlineStr">
        <is>
          <t>M15</t>
        </is>
      </c>
      <c r="Q3" s="68" t="inlineStr">
        <is>
          <t>M16</t>
        </is>
      </c>
      <c r="R3" s="68" t="inlineStr">
        <is>
          <t>M17</t>
        </is>
      </c>
      <c r="S3" s="68" t="inlineStr">
        <is>
          <t>M18</t>
        </is>
      </c>
      <c r="T3" s="68" t="inlineStr">
        <is>
          <t>M19</t>
        </is>
      </c>
      <c r="U3" s="68" t="inlineStr">
        <is>
          <t>M20</t>
        </is>
      </c>
      <c r="V3" s="68" t="inlineStr">
        <is>
          <t>M21</t>
        </is>
      </c>
      <c r="W3" s="68" t="inlineStr">
        <is>
          <t>M22</t>
        </is>
      </c>
      <c r="X3" s="68" t="inlineStr">
        <is>
          <t>M23</t>
        </is>
      </c>
      <c r="Y3" s="68" t="inlineStr">
        <is>
          <t>M24</t>
        </is>
      </c>
      <c r="Z3" s="68" t="inlineStr">
        <is>
          <t>M25</t>
        </is>
      </c>
      <c r="AA3" s="68" t="inlineStr">
        <is>
          <t>M26</t>
        </is>
      </c>
      <c r="AB3" s="68" t="inlineStr">
        <is>
          <t>M27</t>
        </is>
      </c>
      <c r="AC3" s="68" t="inlineStr">
        <is>
          <t>M28</t>
        </is>
      </c>
      <c r="AD3" s="68" t="inlineStr">
        <is>
          <t>M29</t>
        </is>
      </c>
      <c r="AE3" s="68" t="inlineStr">
        <is>
          <t>M30</t>
        </is>
      </c>
      <c r="AF3" s="68" t="inlineStr">
        <is>
          <t>M31</t>
        </is>
      </c>
      <c r="AG3" s="68" t="inlineStr">
        <is>
          <t>M32</t>
        </is>
      </c>
      <c r="AH3" s="68" t="inlineStr">
        <is>
          <t>M33</t>
        </is>
      </c>
      <c r="AI3" s="68" t="inlineStr">
        <is>
          <t>M34</t>
        </is>
      </c>
      <c r="AJ3" s="68" t="inlineStr">
        <is>
          <t>M35</t>
        </is>
      </c>
      <c r="AK3" s="68" t="inlineStr">
        <is>
          <t>M36</t>
        </is>
      </c>
    </row>
    <row r="4" ht="15" customHeight="1" s="53">
      <c r="A4" s="52" t="inlineStr">
        <is>
          <t>Monthly subscription</t>
        </is>
      </c>
      <c r="B4" s="91">
        <f>Users!B15*Assumptions!$E$22</f>
        <v/>
      </c>
      <c r="C4" s="91">
        <f>Users!C15*Assumptions!$E$22</f>
        <v/>
      </c>
      <c r="D4" s="91">
        <f>Users!D15*Assumptions!$E$22</f>
        <v/>
      </c>
      <c r="E4" s="91">
        <f>Users!E15*Assumptions!$E$22</f>
        <v/>
      </c>
      <c r="F4" s="91">
        <f>Users!F15*Assumptions!$E$22</f>
        <v/>
      </c>
      <c r="G4" s="91">
        <f>Users!G15*Assumptions!$E$22</f>
        <v/>
      </c>
      <c r="H4" s="91">
        <f>Users!H15*Assumptions!$E$22</f>
        <v/>
      </c>
      <c r="I4" s="91">
        <f>Users!I15*Assumptions!$E$22</f>
        <v/>
      </c>
      <c r="J4" s="91">
        <f>Users!J15*Assumptions!$E$22</f>
        <v/>
      </c>
      <c r="K4" s="91">
        <f>Users!K15*Assumptions!$E$22</f>
        <v/>
      </c>
      <c r="L4" s="91">
        <f>Users!L15*Assumptions!$E$22</f>
        <v/>
      </c>
      <c r="M4" s="91">
        <f>Users!M15*Assumptions!$E$22</f>
        <v/>
      </c>
      <c r="N4" s="91">
        <f>Users!N15*Assumptions!$E$22</f>
        <v/>
      </c>
      <c r="O4" s="91">
        <f>Users!O15*Assumptions!$E$22</f>
        <v/>
      </c>
      <c r="P4" s="91">
        <f>Users!P15*Assumptions!$E$22</f>
        <v/>
      </c>
      <c r="Q4" s="91">
        <f>Users!Q15*Assumptions!$E$22</f>
        <v/>
      </c>
      <c r="R4" s="91">
        <f>Users!R15*Assumptions!$E$22</f>
        <v/>
      </c>
      <c r="S4" s="91">
        <f>Users!S15*Assumptions!$E$22</f>
        <v/>
      </c>
      <c r="T4" s="91">
        <f>Users!T15*Assumptions!$E$22</f>
        <v/>
      </c>
      <c r="U4" s="91">
        <f>Users!U15*Assumptions!$E$22</f>
        <v/>
      </c>
      <c r="V4" s="91">
        <f>Users!V15*Assumptions!$E$22</f>
        <v/>
      </c>
      <c r="W4" s="91">
        <f>Users!W15*Assumptions!$E$22</f>
        <v/>
      </c>
      <c r="X4" s="91">
        <f>Users!X15*Assumptions!$E$22</f>
        <v/>
      </c>
      <c r="Y4" s="91">
        <f>Users!Y15*Assumptions!$E$22</f>
        <v/>
      </c>
      <c r="Z4" s="91">
        <f>Users!Z15*Assumptions!$E$22</f>
        <v/>
      </c>
      <c r="AA4" s="91">
        <f>Users!AA15*Assumptions!$E$22</f>
        <v/>
      </c>
      <c r="AB4" s="91">
        <f>Users!AB15*Assumptions!$E$22</f>
        <v/>
      </c>
      <c r="AC4" s="91">
        <f>Users!AC15*Assumptions!$E$22</f>
        <v/>
      </c>
      <c r="AD4" s="91">
        <f>Users!AD15*Assumptions!$E$22</f>
        <v/>
      </c>
      <c r="AE4" s="91">
        <f>Users!AE15*Assumptions!$E$22</f>
        <v/>
      </c>
      <c r="AF4" s="91">
        <f>Users!AF15*Assumptions!$E$22</f>
        <v/>
      </c>
      <c r="AG4" s="91">
        <f>Users!AG15*Assumptions!$E$22</f>
        <v/>
      </c>
      <c r="AH4" s="91">
        <f>Users!AH15*Assumptions!$E$22</f>
        <v/>
      </c>
      <c r="AI4" s="91">
        <f>Users!AI15*Assumptions!$E$22</f>
        <v/>
      </c>
      <c r="AJ4" s="91">
        <f>Users!AJ15*Assumptions!$E$22</f>
        <v/>
      </c>
      <c r="AK4" s="91">
        <f>Users!AK15*Assumptions!$E$22</f>
        <v/>
      </c>
    </row>
    <row r="5" ht="15" customHeight="1" s="53">
      <c r="A5" s="52" t="inlineStr">
        <is>
          <t>Annual sub (monthly recog)</t>
        </is>
      </c>
      <c r="B5" s="91">
        <f>Users!B16*Assumptions!$E$23/12</f>
        <v/>
      </c>
      <c r="C5" s="91">
        <f>Users!C16*Assumptions!$E$23/12</f>
        <v/>
      </c>
      <c r="D5" s="91">
        <f>Users!D16*Assumptions!$E$23/12</f>
        <v/>
      </c>
      <c r="E5" s="91">
        <f>Users!E16*Assumptions!$E$23/12</f>
        <v/>
      </c>
      <c r="F5" s="91">
        <f>Users!F16*Assumptions!$E$23/12</f>
        <v/>
      </c>
      <c r="G5" s="91">
        <f>Users!G16*Assumptions!$E$23/12</f>
        <v/>
      </c>
      <c r="H5" s="91">
        <f>Users!H16*Assumptions!$E$23/12</f>
        <v/>
      </c>
      <c r="I5" s="91">
        <f>Users!I16*Assumptions!$E$23/12</f>
        <v/>
      </c>
      <c r="J5" s="91">
        <f>Users!J16*Assumptions!$E$23/12</f>
        <v/>
      </c>
      <c r="K5" s="91">
        <f>Users!K16*Assumptions!$E$23/12</f>
        <v/>
      </c>
      <c r="L5" s="91">
        <f>Users!L16*Assumptions!$E$23/12</f>
        <v/>
      </c>
      <c r="M5" s="91">
        <f>Users!M16*Assumptions!$E$23/12</f>
        <v/>
      </c>
      <c r="N5" s="91">
        <f>Users!N16*Assumptions!$E$23/12</f>
        <v/>
      </c>
      <c r="O5" s="91">
        <f>Users!O16*Assumptions!$E$23/12</f>
        <v/>
      </c>
      <c r="P5" s="91">
        <f>Users!P16*Assumptions!$E$23/12</f>
        <v/>
      </c>
      <c r="Q5" s="91">
        <f>Users!Q16*Assumptions!$E$23/12</f>
        <v/>
      </c>
      <c r="R5" s="91">
        <f>Users!R16*Assumptions!$E$23/12</f>
        <v/>
      </c>
      <c r="S5" s="91">
        <f>Users!S16*Assumptions!$E$23/12</f>
        <v/>
      </c>
      <c r="T5" s="91">
        <f>Users!T16*Assumptions!$E$23/12</f>
        <v/>
      </c>
      <c r="U5" s="91">
        <f>Users!U16*Assumptions!$E$23/12</f>
        <v/>
      </c>
      <c r="V5" s="91">
        <f>Users!V16*Assumptions!$E$23/12</f>
        <v/>
      </c>
      <c r="W5" s="91">
        <f>Users!W16*Assumptions!$E$23/12</f>
        <v/>
      </c>
      <c r="X5" s="91">
        <f>Users!X16*Assumptions!$E$23/12</f>
        <v/>
      </c>
      <c r="Y5" s="91">
        <f>Users!Y16*Assumptions!$E$23/12</f>
        <v/>
      </c>
      <c r="Z5" s="91">
        <f>Users!Z16*Assumptions!$E$23/12</f>
        <v/>
      </c>
      <c r="AA5" s="91">
        <f>Users!AA16*Assumptions!$E$23/12</f>
        <v/>
      </c>
      <c r="AB5" s="91">
        <f>Users!AB16*Assumptions!$E$23/12</f>
        <v/>
      </c>
      <c r="AC5" s="91">
        <f>Users!AC16*Assumptions!$E$23/12</f>
        <v/>
      </c>
      <c r="AD5" s="91">
        <f>Users!AD16*Assumptions!$E$23/12</f>
        <v/>
      </c>
      <c r="AE5" s="91">
        <f>Users!AE16*Assumptions!$E$23/12</f>
        <v/>
      </c>
      <c r="AF5" s="91">
        <f>Users!AF16*Assumptions!$E$23/12</f>
        <v/>
      </c>
      <c r="AG5" s="91">
        <f>Users!AG16*Assumptions!$E$23/12</f>
        <v/>
      </c>
      <c r="AH5" s="91">
        <f>Users!AH16*Assumptions!$E$23/12</f>
        <v/>
      </c>
      <c r="AI5" s="91">
        <f>Users!AI16*Assumptions!$E$23/12</f>
        <v/>
      </c>
      <c r="AJ5" s="91">
        <f>Users!AJ16*Assumptions!$E$23/12</f>
        <v/>
      </c>
      <c r="AK5" s="91">
        <f>Users!AK16*Assumptions!$E$23/12</f>
        <v/>
      </c>
    </row>
    <row r="6" ht="15" customHeight="1" s="53">
      <c r="A6" s="52" t="inlineStr">
        <is>
          <t>Family plan</t>
        </is>
      </c>
      <c r="B6" s="91">
        <f>Users!B17*Assumptions!$E$24/12</f>
        <v/>
      </c>
      <c r="C6" s="91">
        <f>Users!C17*Assumptions!$E$24/12</f>
        <v/>
      </c>
      <c r="D6" s="91">
        <f>Users!D17*Assumptions!$E$24/12</f>
        <v/>
      </c>
      <c r="E6" s="91">
        <f>Users!E17*Assumptions!$E$24/12</f>
        <v/>
      </c>
      <c r="F6" s="91">
        <f>Users!F17*Assumptions!$E$24/12</f>
        <v/>
      </c>
      <c r="G6" s="91">
        <f>Users!G17*Assumptions!$E$24/12</f>
        <v/>
      </c>
      <c r="H6" s="91">
        <f>Users!H17*Assumptions!$E$24/12</f>
        <v/>
      </c>
      <c r="I6" s="91">
        <f>Users!I17*Assumptions!$E$24/12</f>
        <v/>
      </c>
      <c r="J6" s="91">
        <f>Users!J17*Assumptions!$E$24/12</f>
        <v/>
      </c>
      <c r="K6" s="91">
        <f>Users!K17*Assumptions!$E$24/12</f>
        <v/>
      </c>
      <c r="L6" s="91">
        <f>Users!L17*Assumptions!$E$24/12</f>
        <v/>
      </c>
      <c r="M6" s="91">
        <f>Users!M17*Assumptions!$E$24/12</f>
        <v/>
      </c>
      <c r="N6" s="91">
        <f>Users!N17*Assumptions!$E$24/12</f>
        <v/>
      </c>
      <c r="O6" s="91">
        <f>Users!O17*Assumptions!$E$24/12</f>
        <v/>
      </c>
      <c r="P6" s="91">
        <f>Users!P17*Assumptions!$E$24/12</f>
        <v/>
      </c>
      <c r="Q6" s="91">
        <f>Users!Q17*Assumptions!$E$24/12</f>
        <v/>
      </c>
      <c r="R6" s="91">
        <f>Users!R17*Assumptions!$E$24/12</f>
        <v/>
      </c>
      <c r="S6" s="91">
        <f>Users!S17*Assumptions!$E$24/12</f>
        <v/>
      </c>
      <c r="T6" s="91">
        <f>Users!T17*Assumptions!$E$24/12</f>
        <v/>
      </c>
      <c r="U6" s="91">
        <f>Users!U17*Assumptions!$E$24/12</f>
        <v/>
      </c>
      <c r="V6" s="91">
        <f>Users!V17*Assumptions!$E$24/12</f>
        <v/>
      </c>
      <c r="W6" s="91">
        <f>Users!W17*Assumptions!$E$24/12</f>
        <v/>
      </c>
      <c r="X6" s="91">
        <f>Users!X17*Assumptions!$E$24/12</f>
        <v/>
      </c>
      <c r="Y6" s="91">
        <f>Users!Y17*Assumptions!$E$24/12</f>
        <v/>
      </c>
      <c r="Z6" s="91">
        <f>Users!Z17*Assumptions!$E$24/12</f>
        <v/>
      </c>
      <c r="AA6" s="91">
        <f>Users!AA17*Assumptions!$E$24/12</f>
        <v/>
      </c>
      <c r="AB6" s="91">
        <f>Users!AB17*Assumptions!$E$24/12</f>
        <v/>
      </c>
      <c r="AC6" s="91">
        <f>Users!AC17*Assumptions!$E$24/12</f>
        <v/>
      </c>
      <c r="AD6" s="91">
        <f>Users!AD17*Assumptions!$E$24/12</f>
        <v/>
      </c>
      <c r="AE6" s="91">
        <f>Users!AE17*Assumptions!$E$24/12</f>
        <v/>
      </c>
      <c r="AF6" s="91">
        <f>Users!AF17*Assumptions!$E$24/12</f>
        <v/>
      </c>
      <c r="AG6" s="91">
        <f>Users!AG17*Assumptions!$E$24/12</f>
        <v/>
      </c>
      <c r="AH6" s="91">
        <f>Users!AH17*Assumptions!$E$24/12</f>
        <v/>
      </c>
      <c r="AI6" s="91">
        <f>Users!AI17*Assumptions!$E$24/12</f>
        <v/>
      </c>
      <c r="AJ6" s="91">
        <f>Users!AJ17*Assumptions!$E$24/12</f>
        <v/>
      </c>
      <c r="AK6" s="91">
        <f>Users!AK17*Assumptions!$E$24/12</f>
        <v/>
      </c>
    </row>
    <row r="7" ht="15" customHeight="1" s="53">
      <c r="A7" s="52" t="inlineStr">
        <is>
          <t>School B2B</t>
        </is>
      </c>
      <c r="B7" s="91">
        <f>Users!B19*Assumptions!$E$25/12</f>
        <v/>
      </c>
      <c r="C7" s="91">
        <f>Users!C19*Assumptions!$E$25/12</f>
        <v/>
      </c>
      <c r="D7" s="91">
        <f>Users!D19*Assumptions!$E$25/12</f>
        <v/>
      </c>
      <c r="E7" s="91">
        <f>Users!E19*Assumptions!$E$25/12</f>
        <v/>
      </c>
      <c r="F7" s="91">
        <f>Users!F19*Assumptions!$E$25/12</f>
        <v/>
      </c>
      <c r="G7" s="91">
        <f>Users!G19*Assumptions!$E$25/12</f>
        <v/>
      </c>
      <c r="H7" s="91">
        <f>Users!H19*Assumptions!$E$25/12</f>
        <v/>
      </c>
      <c r="I7" s="91">
        <f>Users!I19*Assumptions!$E$25/12</f>
        <v/>
      </c>
      <c r="J7" s="91">
        <f>Users!J19*Assumptions!$E$25/12</f>
        <v/>
      </c>
      <c r="K7" s="91">
        <f>Users!K19*Assumptions!$E$25/12</f>
        <v/>
      </c>
      <c r="L7" s="91">
        <f>Users!L19*Assumptions!$E$25/12</f>
        <v/>
      </c>
      <c r="M7" s="91">
        <f>Users!M19*Assumptions!$E$25/12</f>
        <v/>
      </c>
      <c r="N7" s="91">
        <f>Users!N19*Assumptions!$E$25/12</f>
        <v/>
      </c>
      <c r="O7" s="91">
        <f>Users!O19*Assumptions!$E$25/12</f>
        <v/>
      </c>
      <c r="P7" s="91">
        <f>Users!P19*Assumptions!$E$25/12</f>
        <v/>
      </c>
      <c r="Q7" s="91">
        <f>Users!Q19*Assumptions!$E$25/12</f>
        <v/>
      </c>
      <c r="R7" s="91">
        <f>Users!R19*Assumptions!$E$25/12</f>
        <v/>
      </c>
      <c r="S7" s="91">
        <f>Users!S19*Assumptions!$E$25/12</f>
        <v/>
      </c>
      <c r="T7" s="91">
        <f>Users!T19*Assumptions!$E$25/12</f>
        <v/>
      </c>
      <c r="U7" s="91">
        <f>Users!U19*Assumptions!$E$25/12</f>
        <v/>
      </c>
      <c r="V7" s="91">
        <f>Users!V19*Assumptions!$E$25/12</f>
        <v/>
      </c>
      <c r="W7" s="91">
        <f>Users!W19*Assumptions!$E$25/12</f>
        <v/>
      </c>
      <c r="X7" s="91">
        <f>Users!X19*Assumptions!$E$25/12</f>
        <v/>
      </c>
      <c r="Y7" s="91">
        <f>Users!Y19*Assumptions!$E$25/12</f>
        <v/>
      </c>
      <c r="Z7" s="91">
        <f>Users!Z19*Assumptions!$E$25/12</f>
        <v/>
      </c>
      <c r="AA7" s="91">
        <f>Users!AA19*Assumptions!$E$25/12</f>
        <v/>
      </c>
      <c r="AB7" s="91">
        <f>Users!AB19*Assumptions!$E$25/12</f>
        <v/>
      </c>
      <c r="AC7" s="91">
        <f>Users!AC19*Assumptions!$E$25/12</f>
        <v/>
      </c>
      <c r="AD7" s="91">
        <f>Users!AD19*Assumptions!$E$25/12</f>
        <v/>
      </c>
      <c r="AE7" s="91">
        <f>Users!AE19*Assumptions!$E$25/12</f>
        <v/>
      </c>
      <c r="AF7" s="91">
        <f>Users!AF19*Assumptions!$E$25/12</f>
        <v/>
      </c>
      <c r="AG7" s="91">
        <f>Users!AG19*Assumptions!$E$25/12</f>
        <v/>
      </c>
      <c r="AH7" s="91">
        <f>Users!AH19*Assumptions!$E$25/12</f>
        <v/>
      </c>
      <c r="AI7" s="91">
        <f>Users!AI19*Assumptions!$E$25/12</f>
        <v/>
      </c>
      <c r="AJ7" s="91">
        <f>Users!AJ19*Assumptions!$E$25/12</f>
        <v/>
      </c>
      <c r="AK7" s="91">
        <f>Users!AK19*Assumptions!$E$25/12</f>
        <v/>
      </c>
    </row>
    <row r="9" ht="15" customHeight="1" s="53">
      <c r="A9" s="85" t="inlineStr">
        <is>
          <t>GROSS REVENUE</t>
        </is>
      </c>
      <c r="B9" s="92">
        <f>SUM(B4:B7)</f>
        <v/>
      </c>
      <c r="C9" s="92">
        <f>SUM(C4:C7)</f>
        <v/>
      </c>
      <c r="D9" s="92">
        <f>SUM(D4:D7)</f>
        <v/>
      </c>
      <c r="E9" s="92">
        <f>SUM(E4:E7)</f>
        <v/>
      </c>
      <c r="F9" s="92">
        <f>SUM(F4:F7)</f>
        <v/>
      </c>
      <c r="G9" s="92">
        <f>SUM(G4:G7)</f>
        <v/>
      </c>
      <c r="H9" s="92">
        <f>SUM(H4:H7)</f>
        <v/>
      </c>
      <c r="I9" s="92">
        <f>SUM(I4:I7)</f>
        <v/>
      </c>
      <c r="J9" s="92">
        <f>SUM(J4:J7)</f>
        <v/>
      </c>
      <c r="K9" s="92">
        <f>SUM(K4:K7)</f>
        <v/>
      </c>
      <c r="L9" s="92">
        <f>SUM(L4:L7)</f>
        <v/>
      </c>
      <c r="M9" s="92">
        <f>SUM(M4:M7)</f>
        <v/>
      </c>
      <c r="N9" s="92">
        <f>SUM(N4:N7)</f>
        <v/>
      </c>
      <c r="O9" s="92">
        <f>SUM(O4:O7)</f>
        <v/>
      </c>
      <c r="P9" s="92">
        <f>SUM(P4:P7)</f>
        <v/>
      </c>
      <c r="Q9" s="92">
        <f>SUM(Q4:Q7)</f>
        <v/>
      </c>
      <c r="R9" s="92">
        <f>SUM(R4:R7)</f>
        <v/>
      </c>
      <c r="S9" s="92">
        <f>SUM(S4:S7)</f>
        <v/>
      </c>
      <c r="T9" s="92">
        <f>SUM(T4:T7)</f>
        <v/>
      </c>
      <c r="U9" s="92">
        <f>SUM(U4:U7)</f>
        <v/>
      </c>
      <c r="V9" s="92">
        <f>SUM(V4:V7)</f>
        <v/>
      </c>
      <c r="W9" s="92">
        <f>SUM(W4:W7)</f>
        <v/>
      </c>
      <c r="X9" s="92">
        <f>SUM(X4:X7)</f>
        <v/>
      </c>
      <c r="Y9" s="92">
        <f>SUM(Y4:Y7)</f>
        <v/>
      </c>
      <c r="Z9" s="92">
        <f>SUM(Z4:Z7)</f>
        <v/>
      </c>
      <c r="AA9" s="92">
        <f>SUM(AA4:AA7)</f>
        <v/>
      </c>
      <c r="AB9" s="92">
        <f>SUM(AB4:AB7)</f>
        <v/>
      </c>
      <c r="AC9" s="92">
        <f>SUM(AC4:AC7)</f>
        <v/>
      </c>
      <c r="AD9" s="92">
        <f>SUM(AD4:AD7)</f>
        <v/>
      </c>
      <c r="AE9" s="92">
        <f>SUM(AE4:AE7)</f>
        <v/>
      </c>
      <c r="AF9" s="92">
        <f>SUM(AF4:AF7)</f>
        <v/>
      </c>
      <c r="AG9" s="92">
        <f>SUM(AG4:AG7)</f>
        <v/>
      </c>
      <c r="AH9" s="92">
        <f>SUM(AH4:AH7)</f>
        <v/>
      </c>
      <c r="AI9" s="92">
        <f>SUM(AI4:AI7)</f>
        <v/>
      </c>
      <c r="AJ9" s="92">
        <f>SUM(AJ4:AJ7)</f>
        <v/>
      </c>
      <c r="AK9" s="92">
        <f>SUM(AK4:AK7)</f>
        <v/>
      </c>
    </row>
    <row r="10" ht="15" customHeight="1" s="53">
      <c r="A10" s="52" t="inlineStr">
        <is>
          <t>Less: App Store fees</t>
        </is>
      </c>
      <c r="B10" s="93">
        <f>-(B4+B5+B6)*Assumptions!$E$34</f>
        <v/>
      </c>
      <c r="C10" s="93">
        <f>-(C4+C5+C6)*Assumptions!$E$34</f>
        <v/>
      </c>
      <c r="D10" s="93">
        <f>-(D4+D5+D6)*Assumptions!$E$34</f>
        <v/>
      </c>
      <c r="E10" s="93">
        <f>-(E4+E5+E6)*Assumptions!$E$34</f>
        <v/>
      </c>
      <c r="F10" s="93">
        <f>-(F4+F5+F6)*Assumptions!$E$34</f>
        <v/>
      </c>
      <c r="G10" s="93">
        <f>-(G4+G5+G6)*Assumptions!$E$34</f>
        <v/>
      </c>
      <c r="H10" s="93">
        <f>-(H4+H5+H6)*Assumptions!$E$34</f>
        <v/>
      </c>
      <c r="I10" s="93">
        <f>-(I4+I5+I6)*Assumptions!$E$34</f>
        <v/>
      </c>
      <c r="J10" s="93">
        <f>-(J4+J5+J6)*Assumptions!$E$34</f>
        <v/>
      </c>
      <c r="K10" s="93">
        <f>-(K4+K5+K6)*Assumptions!$E$34</f>
        <v/>
      </c>
      <c r="L10" s="93">
        <f>-(L4+L5+L6)*Assumptions!$E$34</f>
        <v/>
      </c>
      <c r="M10" s="93">
        <f>-(M4+M5+M6)*Assumptions!$E$34</f>
        <v/>
      </c>
      <c r="N10" s="93">
        <f>-(N4+N5+N6)*Assumptions!$E$34</f>
        <v/>
      </c>
      <c r="O10" s="93">
        <f>-(O4+O5+O6)*Assumptions!$E$34</f>
        <v/>
      </c>
      <c r="P10" s="93">
        <f>-(P4+P5+P6)*Assumptions!$E$34</f>
        <v/>
      </c>
      <c r="Q10" s="93">
        <f>-(Q4+Q5+Q6)*Assumptions!$E$34</f>
        <v/>
      </c>
      <c r="R10" s="93">
        <f>-(R4+R5+R6)*Assumptions!$E$34</f>
        <v/>
      </c>
      <c r="S10" s="93">
        <f>-(S4+S5+S6)*Assumptions!$E$34</f>
        <v/>
      </c>
      <c r="T10" s="93">
        <f>-(T4+T5+T6)*Assumptions!$E$34</f>
        <v/>
      </c>
      <c r="U10" s="93">
        <f>-(U4+U5+U6)*Assumptions!$E$34</f>
        <v/>
      </c>
      <c r="V10" s="93">
        <f>-(V4+V5+V6)*Assumptions!$E$34</f>
        <v/>
      </c>
      <c r="W10" s="93">
        <f>-(W4+W5+W6)*Assumptions!$E$34</f>
        <v/>
      </c>
      <c r="X10" s="93">
        <f>-(X4+X5+X6)*Assumptions!$E$34</f>
        <v/>
      </c>
      <c r="Y10" s="93">
        <f>-(Y4+Y5+Y6)*Assumptions!$E$34</f>
        <v/>
      </c>
      <c r="Z10" s="93">
        <f>-(Z4+Z5+Z6)*Assumptions!$E$34</f>
        <v/>
      </c>
      <c r="AA10" s="93">
        <f>-(AA4+AA5+AA6)*Assumptions!$E$34</f>
        <v/>
      </c>
      <c r="AB10" s="93">
        <f>-(AB4+AB5+AB6)*Assumptions!$E$34</f>
        <v/>
      </c>
      <c r="AC10" s="93">
        <f>-(AC4+AC5+AC6)*Assumptions!$E$34</f>
        <v/>
      </c>
      <c r="AD10" s="93">
        <f>-(AD4+AD5+AD6)*Assumptions!$E$34</f>
        <v/>
      </c>
      <c r="AE10" s="93">
        <f>-(AE4+AE5+AE6)*Assumptions!$E$34</f>
        <v/>
      </c>
      <c r="AF10" s="93">
        <f>-(AF4+AF5+AF6)*Assumptions!$E$34</f>
        <v/>
      </c>
      <c r="AG10" s="93">
        <f>-(AG4+AG5+AG6)*Assumptions!$E$34</f>
        <v/>
      </c>
      <c r="AH10" s="93">
        <f>-(AH4+AH5+AH6)*Assumptions!$E$34</f>
        <v/>
      </c>
      <c r="AI10" s="93">
        <f>-(AI4+AI5+AI6)*Assumptions!$E$34</f>
        <v/>
      </c>
      <c r="AJ10" s="93">
        <f>-(AJ4+AJ5+AJ6)*Assumptions!$E$34</f>
        <v/>
      </c>
      <c r="AK10" s="93">
        <f>-(AK4+AK5+AK6)*Assumptions!$E$34</f>
        <v/>
      </c>
    </row>
    <row r="11" ht="15" customHeight="1" s="53">
      <c r="A11" s="52" t="inlineStr">
        <is>
          <t>Less: Stripe fees (school)</t>
        </is>
      </c>
      <c r="B11" s="93">
        <f>-B7*Assumptions!$E$35</f>
        <v/>
      </c>
      <c r="C11" s="93">
        <f>-C7*Assumptions!$E$35</f>
        <v/>
      </c>
      <c r="D11" s="93">
        <f>-D7*Assumptions!$E$35</f>
        <v/>
      </c>
      <c r="E11" s="93">
        <f>-E7*Assumptions!$E$35</f>
        <v/>
      </c>
      <c r="F11" s="93">
        <f>-F7*Assumptions!$E$35</f>
        <v/>
      </c>
      <c r="G11" s="93">
        <f>-G7*Assumptions!$E$35</f>
        <v/>
      </c>
      <c r="H11" s="93">
        <f>-H7*Assumptions!$E$35</f>
        <v/>
      </c>
      <c r="I11" s="93">
        <f>-I7*Assumptions!$E$35</f>
        <v/>
      </c>
      <c r="J11" s="93">
        <f>-J7*Assumptions!$E$35</f>
        <v/>
      </c>
      <c r="K11" s="93">
        <f>-K7*Assumptions!$E$35</f>
        <v/>
      </c>
      <c r="L11" s="93">
        <f>-L7*Assumptions!$E$35</f>
        <v/>
      </c>
      <c r="M11" s="93">
        <f>-M7*Assumptions!$E$35</f>
        <v/>
      </c>
      <c r="N11" s="93">
        <f>-N7*Assumptions!$E$35</f>
        <v/>
      </c>
      <c r="O11" s="93">
        <f>-O7*Assumptions!$E$35</f>
        <v/>
      </c>
      <c r="P11" s="93">
        <f>-P7*Assumptions!$E$35</f>
        <v/>
      </c>
      <c r="Q11" s="93">
        <f>-Q7*Assumptions!$E$35</f>
        <v/>
      </c>
      <c r="R11" s="93">
        <f>-R7*Assumptions!$E$35</f>
        <v/>
      </c>
      <c r="S11" s="93">
        <f>-S7*Assumptions!$E$35</f>
        <v/>
      </c>
      <c r="T11" s="93">
        <f>-T7*Assumptions!$E$35</f>
        <v/>
      </c>
      <c r="U11" s="93">
        <f>-U7*Assumptions!$E$35</f>
        <v/>
      </c>
      <c r="V11" s="93">
        <f>-V7*Assumptions!$E$35</f>
        <v/>
      </c>
      <c r="W11" s="93">
        <f>-W7*Assumptions!$E$35</f>
        <v/>
      </c>
      <c r="X11" s="93">
        <f>-X7*Assumptions!$E$35</f>
        <v/>
      </c>
      <c r="Y11" s="93">
        <f>-Y7*Assumptions!$E$35</f>
        <v/>
      </c>
      <c r="Z11" s="93">
        <f>-Z7*Assumptions!$E$35</f>
        <v/>
      </c>
      <c r="AA11" s="93">
        <f>-AA7*Assumptions!$E$35</f>
        <v/>
      </c>
      <c r="AB11" s="93">
        <f>-AB7*Assumptions!$E$35</f>
        <v/>
      </c>
      <c r="AC11" s="93">
        <f>-AC7*Assumptions!$E$35</f>
        <v/>
      </c>
      <c r="AD11" s="93">
        <f>-AD7*Assumptions!$E$35</f>
        <v/>
      </c>
      <c r="AE11" s="93">
        <f>-AE7*Assumptions!$E$35</f>
        <v/>
      </c>
      <c r="AF11" s="93">
        <f>-AF7*Assumptions!$E$35</f>
        <v/>
      </c>
      <c r="AG11" s="93">
        <f>-AG7*Assumptions!$E$35</f>
        <v/>
      </c>
      <c r="AH11" s="93">
        <f>-AH7*Assumptions!$E$35</f>
        <v/>
      </c>
      <c r="AI11" s="93">
        <f>-AI7*Assumptions!$E$35</f>
        <v/>
      </c>
      <c r="AJ11" s="93">
        <f>-AJ7*Assumptions!$E$35</f>
        <v/>
      </c>
      <c r="AK11" s="93">
        <f>-AK7*Assumptions!$E$35</f>
        <v/>
      </c>
    </row>
    <row r="13" ht="15" customHeight="1" s="53">
      <c r="A13" s="94" t="inlineStr">
        <is>
          <t>NET REVENUE</t>
        </is>
      </c>
      <c r="B13" s="92">
        <f>B9+B10+B11</f>
        <v/>
      </c>
      <c r="C13" s="92">
        <f>C9+C10+C11</f>
        <v/>
      </c>
      <c r="D13" s="92">
        <f>D9+D10+D11</f>
        <v/>
      </c>
      <c r="E13" s="92">
        <f>E9+E10+E11</f>
        <v/>
      </c>
      <c r="F13" s="92">
        <f>F9+F10+F11</f>
        <v/>
      </c>
      <c r="G13" s="92">
        <f>G9+G10+G11</f>
        <v/>
      </c>
      <c r="H13" s="92">
        <f>H9+H10+H11</f>
        <v/>
      </c>
      <c r="I13" s="92">
        <f>I9+I10+I11</f>
        <v/>
      </c>
      <c r="J13" s="92">
        <f>J9+J10+J11</f>
        <v/>
      </c>
      <c r="K13" s="92">
        <f>K9+K10+K11</f>
        <v/>
      </c>
      <c r="L13" s="92">
        <f>L9+L10+L11</f>
        <v/>
      </c>
      <c r="M13" s="92">
        <f>M9+M10+M11</f>
        <v/>
      </c>
      <c r="N13" s="92">
        <f>N9+N10+N11</f>
        <v/>
      </c>
      <c r="O13" s="92">
        <f>O9+O10+O11</f>
        <v/>
      </c>
      <c r="P13" s="92">
        <f>P9+P10+P11</f>
        <v/>
      </c>
      <c r="Q13" s="92">
        <f>Q9+Q10+Q11</f>
        <v/>
      </c>
      <c r="R13" s="92">
        <f>R9+R10+R11</f>
        <v/>
      </c>
      <c r="S13" s="92">
        <f>S9+S10+S11</f>
        <v/>
      </c>
      <c r="T13" s="92">
        <f>T9+T10+T11</f>
        <v/>
      </c>
      <c r="U13" s="92">
        <f>U9+U10+U11</f>
        <v/>
      </c>
      <c r="V13" s="92">
        <f>V9+V10+V11</f>
        <v/>
      </c>
      <c r="W13" s="92">
        <f>W9+W10+W11</f>
        <v/>
      </c>
      <c r="X13" s="92">
        <f>X9+X10+X11</f>
        <v/>
      </c>
      <c r="Y13" s="92">
        <f>Y9+Y10+Y11</f>
        <v/>
      </c>
      <c r="Z13" s="92">
        <f>Z9+Z10+Z11</f>
        <v/>
      </c>
      <c r="AA13" s="92">
        <f>AA9+AA10+AA11</f>
        <v/>
      </c>
      <c r="AB13" s="92">
        <f>AB9+AB10+AB11</f>
        <v/>
      </c>
      <c r="AC13" s="92">
        <f>AC9+AC10+AC11</f>
        <v/>
      </c>
      <c r="AD13" s="92">
        <f>AD9+AD10+AD11</f>
        <v/>
      </c>
      <c r="AE13" s="92">
        <f>AE9+AE10+AE11</f>
        <v/>
      </c>
      <c r="AF13" s="92">
        <f>AF9+AF10+AF11</f>
        <v/>
      </c>
      <c r="AG13" s="92">
        <f>AG9+AG10+AG11</f>
        <v/>
      </c>
      <c r="AH13" s="92">
        <f>AH9+AH10+AH11</f>
        <v/>
      </c>
      <c r="AI13" s="92">
        <f>AI9+AI10+AI11</f>
        <v/>
      </c>
      <c r="AJ13" s="92">
        <f>AJ9+AJ10+AJ11</f>
        <v/>
      </c>
      <c r="AK13" s="92">
        <f>AK9+AK10+AK11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1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52" min="1" max="1"/>
    <col width="10" customWidth="1" style="52" min="2" max="37"/>
  </cols>
  <sheetData>
    <row r="1" ht="22.05" customHeight="1" s="53">
      <c r="A1" s="66" t="inlineStr">
        <is>
          <t>COSTS (USD)</t>
        </is>
      </c>
    </row>
    <row r="3" ht="15" customHeight="1" s="53">
      <c r="A3" s="85" t="inlineStr">
        <is>
          <t>Cost line</t>
        </is>
      </c>
      <c r="B3" s="68" t="inlineStr">
        <is>
          <t>M1</t>
        </is>
      </c>
      <c r="C3" s="68" t="inlineStr">
        <is>
          <t>M2</t>
        </is>
      </c>
      <c r="D3" s="68" t="inlineStr">
        <is>
          <t>M3</t>
        </is>
      </c>
      <c r="E3" s="68" t="inlineStr">
        <is>
          <t>M4</t>
        </is>
      </c>
      <c r="F3" s="68" t="inlineStr">
        <is>
          <t>M5</t>
        </is>
      </c>
      <c r="G3" s="68" t="inlineStr">
        <is>
          <t>M6</t>
        </is>
      </c>
      <c r="H3" s="68" t="inlineStr">
        <is>
          <t>M7</t>
        </is>
      </c>
      <c r="I3" s="68" t="inlineStr">
        <is>
          <t>M8</t>
        </is>
      </c>
      <c r="J3" s="68" t="inlineStr">
        <is>
          <t>M9</t>
        </is>
      </c>
      <c r="K3" s="68" t="inlineStr">
        <is>
          <t>M10</t>
        </is>
      </c>
      <c r="L3" s="68" t="inlineStr">
        <is>
          <t>M11</t>
        </is>
      </c>
      <c r="M3" s="68" t="inlineStr">
        <is>
          <t>M12</t>
        </is>
      </c>
      <c r="N3" s="68" t="inlineStr">
        <is>
          <t>M13</t>
        </is>
      </c>
      <c r="O3" s="68" t="inlineStr">
        <is>
          <t>M14</t>
        </is>
      </c>
      <c r="P3" s="68" t="inlineStr">
        <is>
          <t>M15</t>
        </is>
      </c>
      <c r="Q3" s="68" t="inlineStr">
        <is>
          <t>M16</t>
        </is>
      </c>
      <c r="R3" s="68" t="inlineStr">
        <is>
          <t>M17</t>
        </is>
      </c>
      <c r="S3" s="68" t="inlineStr">
        <is>
          <t>M18</t>
        </is>
      </c>
      <c r="T3" s="68" t="inlineStr">
        <is>
          <t>M19</t>
        </is>
      </c>
      <c r="U3" s="68" t="inlineStr">
        <is>
          <t>M20</t>
        </is>
      </c>
      <c r="V3" s="68" t="inlineStr">
        <is>
          <t>M21</t>
        </is>
      </c>
      <c r="W3" s="68" t="inlineStr">
        <is>
          <t>M22</t>
        </is>
      </c>
      <c r="X3" s="68" t="inlineStr">
        <is>
          <t>M23</t>
        </is>
      </c>
      <c r="Y3" s="68" t="inlineStr">
        <is>
          <t>M24</t>
        </is>
      </c>
      <c r="Z3" s="68" t="inlineStr">
        <is>
          <t>M25</t>
        </is>
      </c>
      <c r="AA3" s="68" t="inlineStr">
        <is>
          <t>M26</t>
        </is>
      </c>
      <c r="AB3" s="68" t="inlineStr">
        <is>
          <t>M27</t>
        </is>
      </c>
      <c r="AC3" s="68" t="inlineStr">
        <is>
          <t>M28</t>
        </is>
      </c>
      <c r="AD3" s="68" t="inlineStr">
        <is>
          <t>M29</t>
        </is>
      </c>
      <c r="AE3" s="68" t="inlineStr">
        <is>
          <t>M30</t>
        </is>
      </c>
      <c r="AF3" s="68" t="inlineStr">
        <is>
          <t>M31</t>
        </is>
      </c>
      <c r="AG3" s="68" t="inlineStr">
        <is>
          <t>M32</t>
        </is>
      </c>
      <c r="AH3" s="68" t="inlineStr">
        <is>
          <t>M33</t>
        </is>
      </c>
      <c r="AI3" s="68" t="inlineStr">
        <is>
          <t>M34</t>
        </is>
      </c>
      <c r="AJ3" s="68" t="inlineStr">
        <is>
          <t>M35</t>
        </is>
      </c>
      <c r="AK3" s="68" t="inlineStr">
        <is>
          <t>M36</t>
        </is>
      </c>
    </row>
    <row r="4" ht="15" customHeight="1" s="53">
      <c r="A4" s="52" t="inlineStr">
        <is>
          <t>One-off: App dev</t>
        </is>
      </c>
      <c r="B4" s="93">
        <f>IF(1=1,Assumptions!$E$47,0)</f>
        <v/>
      </c>
      <c r="C4" s="93">
        <f>IF(2=1,Assumptions!$E$47,0)</f>
        <v/>
      </c>
      <c r="D4" s="93">
        <f>IF(3=1,Assumptions!$E$47,0)</f>
        <v/>
      </c>
      <c r="E4" s="93">
        <f>IF(4=1,Assumptions!$E$47,0)</f>
        <v/>
      </c>
      <c r="F4" s="93">
        <f>IF(5=1,Assumptions!$E$47,0)</f>
        <v/>
      </c>
      <c r="G4" s="93">
        <f>IF(6=1,Assumptions!$E$47,0)</f>
        <v/>
      </c>
      <c r="H4" s="93">
        <f>IF(7=1,Assumptions!$E$47,0)</f>
        <v/>
      </c>
      <c r="I4" s="93">
        <f>IF(8=1,Assumptions!$E$47,0)</f>
        <v/>
      </c>
      <c r="J4" s="93">
        <f>IF(9=1,Assumptions!$E$47,0)</f>
        <v/>
      </c>
      <c r="K4" s="93">
        <f>IF(10=1,Assumptions!$E$47,0)</f>
        <v/>
      </c>
      <c r="L4" s="93">
        <f>IF(11=1,Assumptions!$E$47,0)</f>
        <v/>
      </c>
      <c r="M4" s="93">
        <f>IF(12=1,Assumptions!$E$47,0)</f>
        <v/>
      </c>
      <c r="N4" s="93">
        <f>IF(13=1,Assumptions!$E$47,0)</f>
        <v/>
      </c>
      <c r="O4" s="93">
        <f>IF(14=1,Assumptions!$E$47,0)</f>
        <v/>
      </c>
      <c r="P4" s="93">
        <f>IF(15=1,Assumptions!$E$47,0)</f>
        <v/>
      </c>
      <c r="Q4" s="93">
        <f>IF(16=1,Assumptions!$E$47,0)</f>
        <v/>
      </c>
      <c r="R4" s="93">
        <f>IF(17=1,Assumptions!$E$47,0)</f>
        <v/>
      </c>
      <c r="S4" s="93">
        <f>IF(18=1,Assumptions!$E$47,0)</f>
        <v/>
      </c>
      <c r="T4" s="93">
        <f>IF(19=1,Assumptions!$E$47,0)</f>
        <v/>
      </c>
      <c r="U4" s="93">
        <f>IF(20=1,Assumptions!$E$47,0)</f>
        <v/>
      </c>
      <c r="V4" s="93">
        <f>IF(21=1,Assumptions!$E$47,0)</f>
        <v/>
      </c>
      <c r="W4" s="93">
        <f>IF(22=1,Assumptions!$E$47,0)</f>
        <v/>
      </c>
      <c r="X4" s="93">
        <f>IF(23=1,Assumptions!$E$47,0)</f>
        <v/>
      </c>
      <c r="Y4" s="93">
        <f>IF(24=1,Assumptions!$E$47,0)</f>
        <v/>
      </c>
      <c r="Z4" s="93">
        <f>IF(25=1,Assumptions!$E$47,0)</f>
        <v/>
      </c>
      <c r="AA4" s="93">
        <f>IF(26=1,Assumptions!$E$47,0)</f>
        <v/>
      </c>
      <c r="AB4" s="93">
        <f>IF(27=1,Assumptions!$E$47,0)</f>
        <v/>
      </c>
      <c r="AC4" s="93">
        <f>IF(28=1,Assumptions!$E$47,0)</f>
        <v/>
      </c>
      <c r="AD4" s="93">
        <f>IF(29=1,Assumptions!$E$47,0)</f>
        <v/>
      </c>
      <c r="AE4" s="93">
        <f>IF(30=1,Assumptions!$E$47,0)</f>
        <v/>
      </c>
      <c r="AF4" s="93">
        <f>IF(31=1,Assumptions!$E$47,0)</f>
        <v/>
      </c>
      <c r="AG4" s="93">
        <f>IF(32=1,Assumptions!$E$47,0)</f>
        <v/>
      </c>
      <c r="AH4" s="93">
        <f>IF(33=1,Assumptions!$E$47,0)</f>
        <v/>
      </c>
      <c r="AI4" s="93">
        <f>IF(34=1,Assumptions!$E$47,0)</f>
        <v/>
      </c>
      <c r="AJ4" s="93">
        <f>IF(35=1,Assumptions!$E$47,0)</f>
        <v/>
      </c>
      <c r="AK4" s="93">
        <f>IF(36=1,Assumptions!$E$47,0)</f>
        <v/>
      </c>
    </row>
    <row r="5" ht="15" customHeight="1" s="53">
      <c r="A5" s="52" t="inlineStr">
        <is>
          <t>One-off: Content</t>
        </is>
      </c>
      <c r="B5" s="93">
        <f>IF(1=1,Assumptions!$E$48,0)</f>
        <v/>
      </c>
      <c r="C5" s="93">
        <f>IF(2=1,Assumptions!$E$48,0)</f>
        <v/>
      </c>
      <c r="D5" s="93">
        <f>IF(3=1,Assumptions!$E$48,0)</f>
        <v/>
      </c>
      <c r="E5" s="93">
        <f>IF(4=1,Assumptions!$E$48,0)</f>
        <v/>
      </c>
      <c r="F5" s="93">
        <f>IF(5=1,Assumptions!$E$48,0)</f>
        <v/>
      </c>
      <c r="G5" s="93">
        <f>IF(6=1,Assumptions!$E$48,0)</f>
        <v/>
      </c>
      <c r="H5" s="93">
        <f>IF(7=1,Assumptions!$E$48,0)</f>
        <v/>
      </c>
      <c r="I5" s="93">
        <f>IF(8=1,Assumptions!$E$48,0)</f>
        <v/>
      </c>
      <c r="J5" s="93">
        <f>IF(9=1,Assumptions!$E$48,0)</f>
        <v/>
      </c>
      <c r="K5" s="93">
        <f>IF(10=1,Assumptions!$E$48,0)</f>
        <v/>
      </c>
      <c r="L5" s="93">
        <f>IF(11=1,Assumptions!$E$48,0)</f>
        <v/>
      </c>
      <c r="M5" s="93">
        <f>IF(12=1,Assumptions!$E$48,0)</f>
        <v/>
      </c>
      <c r="N5" s="93">
        <f>IF(13=1,Assumptions!$E$48,0)</f>
        <v/>
      </c>
      <c r="O5" s="93">
        <f>IF(14=1,Assumptions!$E$48,0)</f>
        <v/>
      </c>
      <c r="P5" s="93">
        <f>IF(15=1,Assumptions!$E$48,0)</f>
        <v/>
      </c>
      <c r="Q5" s="93">
        <f>IF(16=1,Assumptions!$E$48,0)</f>
        <v/>
      </c>
      <c r="R5" s="93">
        <f>IF(17=1,Assumptions!$E$48,0)</f>
        <v/>
      </c>
      <c r="S5" s="93">
        <f>IF(18=1,Assumptions!$E$48,0)</f>
        <v/>
      </c>
      <c r="T5" s="93">
        <f>IF(19=1,Assumptions!$E$48,0)</f>
        <v/>
      </c>
      <c r="U5" s="93">
        <f>IF(20=1,Assumptions!$E$48,0)</f>
        <v/>
      </c>
      <c r="V5" s="93">
        <f>IF(21=1,Assumptions!$E$48,0)</f>
        <v/>
      </c>
      <c r="W5" s="93">
        <f>IF(22=1,Assumptions!$E$48,0)</f>
        <v/>
      </c>
      <c r="X5" s="93">
        <f>IF(23=1,Assumptions!$E$48,0)</f>
        <v/>
      </c>
      <c r="Y5" s="93">
        <f>IF(24=1,Assumptions!$E$48,0)</f>
        <v/>
      </c>
      <c r="Z5" s="93">
        <f>IF(25=1,Assumptions!$E$48,0)</f>
        <v/>
      </c>
      <c r="AA5" s="93">
        <f>IF(26=1,Assumptions!$E$48,0)</f>
        <v/>
      </c>
      <c r="AB5" s="93">
        <f>IF(27=1,Assumptions!$E$48,0)</f>
        <v/>
      </c>
      <c r="AC5" s="93">
        <f>IF(28=1,Assumptions!$E$48,0)</f>
        <v/>
      </c>
      <c r="AD5" s="93">
        <f>IF(29=1,Assumptions!$E$48,0)</f>
        <v/>
      </c>
      <c r="AE5" s="93">
        <f>IF(30=1,Assumptions!$E$48,0)</f>
        <v/>
      </c>
      <c r="AF5" s="93">
        <f>IF(31=1,Assumptions!$E$48,0)</f>
        <v/>
      </c>
      <c r="AG5" s="93">
        <f>IF(32=1,Assumptions!$E$48,0)</f>
        <v/>
      </c>
      <c r="AH5" s="93">
        <f>IF(33=1,Assumptions!$E$48,0)</f>
        <v/>
      </c>
      <c r="AI5" s="93">
        <f>IF(34=1,Assumptions!$E$48,0)</f>
        <v/>
      </c>
      <c r="AJ5" s="93">
        <f>IF(35=1,Assumptions!$E$48,0)</f>
        <v/>
      </c>
      <c r="AK5" s="93">
        <f>IF(36=1,Assumptions!$E$48,0)</f>
        <v/>
      </c>
    </row>
    <row r="6" ht="15" customHeight="1" s="53">
      <c r="A6" s="52" t="inlineStr">
        <is>
          <t>One-off: Branding</t>
        </is>
      </c>
      <c r="B6" s="93">
        <f>IF(1=1,Assumptions!$E$50,0)</f>
        <v/>
      </c>
      <c r="C6" s="93">
        <f>IF(2=1,Assumptions!$E$50,0)</f>
        <v/>
      </c>
      <c r="D6" s="93">
        <f>IF(3=1,Assumptions!$E$50,0)</f>
        <v/>
      </c>
      <c r="E6" s="93">
        <f>IF(4=1,Assumptions!$E$50,0)</f>
        <v/>
      </c>
      <c r="F6" s="93">
        <f>IF(5=1,Assumptions!$E$50,0)</f>
        <v/>
      </c>
      <c r="G6" s="93">
        <f>IF(6=1,Assumptions!$E$50,0)</f>
        <v/>
      </c>
      <c r="H6" s="93">
        <f>IF(7=1,Assumptions!$E$50,0)</f>
        <v/>
      </c>
      <c r="I6" s="93">
        <f>IF(8=1,Assumptions!$E$50,0)</f>
        <v/>
      </c>
      <c r="J6" s="93">
        <f>IF(9=1,Assumptions!$E$50,0)</f>
        <v/>
      </c>
      <c r="K6" s="93">
        <f>IF(10=1,Assumptions!$E$50,0)</f>
        <v/>
      </c>
      <c r="L6" s="93">
        <f>IF(11=1,Assumptions!$E$50,0)</f>
        <v/>
      </c>
      <c r="M6" s="93">
        <f>IF(12=1,Assumptions!$E$50,0)</f>
        <v/>
      </c>
      <c r="N6" s="93">
        <f>IF(13=1,Assumptions!$E$50,0)</f>
        <v/>
      </c>
      <c r="O6" s="93">
        <f>IF(14=1,Assumptions!$E$50,0)</f>
        <v/>
      </c>
      <c r="P6" s="93">
        <f>IF(15=1,Assumptions!$E$50,0)</f>
        <v/>
      </c>
      <c r="Q6" s="93">
        <f>IF(16=1,Assumptions!$E$50,0)</f>
        <v/>
      </c>
      <c r="R6" s="93">
        <f>IF(17=1,Assumptions!$E$50,0)</f>
        <v/>
      </c>
      <c r="S6" s="93">
        <f>IF(18=1,Assumptions!$E$50,0)</f>
        <v/>
      </c>
      <c r="T6" s="93">
        <f>IF(19=1,Assumptions!$E$50,0)</f>
        <v/>
      </c>
      <c r="U6" s="93">
        <f>IF(20=1,Assumptions!$E$50,0)</f>
        <v/>
      </c>
      <c r="V6" s="93">
        <f>IF(21=1,Assumptions!$E$50,0)</f>
        <v/>
      </c>
      <c r="W6" s="93">
        <f>IF(22=1,Assumptions!$E$50,0)</f>
        <v/>
      </c>
      <c r="X6" s="93">
        <f>IF(23=1,Assumptions!$E$50,0)</f>
        <v/>
      </c>
      <c r="Y6" s="93">
        <f>IF(24=1,Assumptions!$E$50,0)</f>
        <v/>
      </c>
      <c r="Z6" s="93">
        <f>IF(25=1,Assumptions!$E$50,0)</f>
        <v/>
      </c>
      <c r="AA6" s="93">
        <f>IF(26=1,Assumptions!$E$50,0)</f>
        <v/>
      </c>
      <c r="AB6" s="93">
        <f>IF(27=1,Assumptions!$E$50,0)</f>
        <v/>
      </c>
      <c r="AC6" s="93">
        <f>IF(28=1,Assumptions!$E$50,0)</f>
        <v/>
      </c>
      <c r="AD6" s="93">
        <f>IF(29=1,Assumptions!$E$50,0)</f>
        <v/>
      </c>
      <c r="AE6" s="93">
        <f>IF(30=1,Assumptions!$E$50,0)</f>
        <v/>
      </c>
      <c r="AF6" s="93">
        <f>IF(31=1,Assumptions!$E$50,0)</f>
        <v/>
      </c>
      <c r="AG6" s="93">
        <f>IF(32=1,Assumptions!$E$50,0)</f>
        <v/>
      </c>
      <c r="AH6" s="93">
        <f>IF(33=1,Assumptions!$E$50,0)</f>
        <v/>
      </c>
      <c r="AI6" s="93">
        <f>IF(34=1,Assumptions!$E$50,0)</f>
        <v/>
      </c>
      <c r="AJ6" s="93">
        <f>IF(35=1,Assumptions!$E$50,0)</f>
        <v/>
      </c>
      <c r="AK6" s="93">
        <f>IF(36=1,Assumptions!$E$50,0)</f>
        <v/>
      </c>
    </row>
    <row r="7" ht="15" customHeight="1" s="53">
      <c r="A7" s="52" t="inlineStr">
        <is>
          <t>One-off: Dev accounts</t>
        </is>
      </c>
      <c r="B7" s="93">
        <f>IF(1=1,Assumptions!$E$49,0)</f>
        <v/>
      </c>
      <c r="C7" s="93">
        <f>IF(2=1,Assumptions!$E$49,0)</f>
        <v/>
      </c>
      <c r="D7" s="93">
        <f>IF(3=1,Assumptions!$E$49,0)</f>
        <v/>
      </c>
      <c r="E7" s="93">
        <f>IF(4=1,Assumptions!$E$49,0)</f>
        <v/>
      </c>
      <c r="F7" s="93">
        <f>IF(5=1,Assumptions!$E$49,0)</f>
        <v/>
      </c>
      <c r="G7" s="93">
        <f>IF(6=1,Assumptions!$E$49,0)</f>
        <v/>
      </c>
      <c r="H7" s="93">
        <f>IF(7=1,Assumptions!$E$49,0)</f>
        <v/>
      </c>
      <c r="I7" s="93">
        <f>IF(8=1,Assumptions!$E$49,0)</f>
        <v/>
      </c>
      <c r="J7" s="93">
        <f>IF(9=1,Assumptions!$E$49,0)</f>
        <v/>
      </c>
      <c r="K7" s="93">
        <f>IF(10=1,Assumptions!$E$49,0)</f>
        <v/>
      </c>
      <c r="L7" s="93">
        <f>IF(11=1,Assumptions!$E$49,0)</f>
        <v/>
      </c>
      <c r="M7" s="93">
        <f>IF(12=1,Assumptions!$E$49,0)</f>
        <v/>
      </c>
      <c r="N7" s="93">
        <f>IF(13=1,Assumptions!$E$49,0)</f>
        <v/>
      </c>
      <c r="O7" s="93">
        <f>IF(14=1,Assumptions!$E$49,0)</f>
        <v/>
      </c>
      <c r="P7" s="93">
        <f>IF(15=1,Assumptions!$E$49,0)</f>
        <v/>
      </c>
      <c r="Q7" s="93">
        <f>IF(16=1,Assumptions!$E$49,0)</f>
        <v/>
      </c>
      <c r="R7" s="93">
        <f>IF(17=1,Assumptions!$E$49,0)</f>
        <v/>
      </c>
      <c r="S7" s="93">
        <f>IF(18=1,Assumptions!$E$49,0)</f>
        <v/>
      </c>
      <c r="T7" s="93">
        <f>IF(19=1,Assumptions!$E$49,0)</f>
        <v/>
      </c>
      <c r="U7" s="93">
        <f>IF(20=1,Assumptions!$E$49,0)</f>
        <v/>
      </c>
      <c r="V7" s="93">
        <f>IF(21=1,Assumptions!$E$49,0)</f>
        <v/>
      </c>
      <c r="W7" s="93">
        <f>IF(22=1,Assumptions!$E$49,0)</f>
        <v/>
      </c>
      <c r="X7" s="93">
        <f>IF(23=1,Assumptions!$E$49,0)</f>
        <v/>
      </c>
      <c r="Y7" s="93">
        <f>IF(24=1,Assumptions!$E$49,0)</f>
        <v/>
      </c>
      <c r="Z7" s="93">
        <f>IF(25=1,Assumptions!$E$49,0)</f>
        <v/>
      </c>
      <c r="AA7" s="93">
        <f>IF(26=1,Assumptions!$E$49,0)</f>
        <v/>
      </c>
      <c r="AB7" s="93">
        <f>IF(27=1,Assumptions!$E$49,0)</f>
        <v/>
      </c>
      <c r="AC7" s="93">
        <f>IF(28=1,Assumptions!$E$49,0)</f>
        <v/>
      </c>
      <c r="AD7" s="93">
        <f>IF(29=1,Assumptions!$E$49,0)</f>
        <v/>
      </c>
      <c r="AE7" s="93">
        <f>IF(30=1,Assumptions!$E$49,0)</f>
        <v/>
      </c>
      <c r="AF7" s="93">
        <f>IF(31=1,Assumptions!$E$49,0)</f>
        <v/>
      </c>
      <c r="AG7" s="93">
        <f>IF(32=1,Assumptions!$E$49,0)</f>
        <v/>
      </c>
      <c r="AH7" s="93">
        <f>IF(33=1,Assumptions!$E$49,0)</f>
        <v/>
      </c>
      <c r="AI7" s="93">
        <f>IF(34=1,Assumptions!$E$49,0)</f>
        <v/>
      </c>
      <c r="AJ7" s="93">
        <f>IF(35=1,Assumptions!$E$49,0)</f>
        <v/>
      </c>
      <c r="AK7" s="93">
        <f>IF(36=1,Assumptions!$E$49,0)</f>
        <v/>
      </c>
    </row>
    <row r="9" ht="15" customHeight="1" s="53">
      <c r="A9" s="52" t="inlineStr">
        <is>
          <t>Hosting</t>
        </is>
      </c>
      <c r="B9" s="93">
        <f>Users!B21/1000*Assumptions!$E$36</f>
        <v/>
      </c>
      <c r="C9" s="93">
        <f>Users!C21/1000*Assumptions!$E$36</f>
        <v/>
      </c>
      <c r="D9" s="93">
        <f>Users!D21/1000*Assumptions!$E$36</f>
        <v/>
      </c>
      <c r="E9" s="93">
        <f>Users!E21/1000*Assumptions!$E$36</f>
        <v/>
      </c>
      <c r="F9" s="93">
        <f>Users!F21/1000*Assumptions!$E$36</f>
        <v/>
      </c>
      <c r="G9" s="93">
        <f>Users!G21/1000*Assumptions!$E$36</f>
        <v/>
      </c>
      <c r="H9" s="93">
        <f>Users!H21/1000*Assumptions!$E$36</f>
        <v/>
      </c>
      <c r="I9" s="93">
        <f>Users!I21/1000*Assumptions!$E$36</f>
        <v/>
      </c>
      <c r="J9" s="93">
        <f>Users!J21/1000*Assumptions!$E$36</f>
        <v/>
      </c>
      <c r="K9" s="93">
        <f>Users!K21/1000*Assumptions!$E$36</f>
        <v/>
      </c>
      <c r="L9" s="93">
        <f>Users!L21/1000*Assumptions!$E$36</f>
        <v/>
      </c>
      <c r="M9" s="93">
        <f>Users!M21/1000*Assumptions!$E$36</f>
        <v/>
      </c>
      <c r="N9" s="93">
        <f>Users!N21/1000*Assumptions!$E$36</f>
        <v/>
      </c>
      <c r="O9" s="93">
        <f>Users!O21/1000*Assumptions!$E$36</f>
        <v/>
      </c>
      <c r="P9" s="93">
        <f>Users!P21/1000*Assumptions!$E$36</f>
        <v/>
      </c>
      <c r="Q9" s="93">
        <f>Users!Q21/1000*Assumptions!$E$36</f>
        <v/>
      </c>
      <c r="R9" s="93">
        <f>Users!R21/1000*Assumptions!$E$36</f>
        <v/>
      </c>
      <c r="S9" s="93">
        <f>Users!S21/1000*Assumptions!$E$36</f>
        <v/>
      </c>
      <c r="T9" s="93">
        <f>Users!T21/1000*Assumptions!$E$36</f>
        <v/>
      </c>
      <c r="U9" s="93">
        <f>Users!U21/1000*Assumptions!$E$36</f>
        <v/>
      </c>
      <c r="V9" s="93">
        <f>Users!V21/1000*Assumptions!$E$36</f>
        <v/>
      </c>
      <c r="W9" s="93">
        <f>Users!W21/1000*Assumptions!$E$36</f>
        <v/>
      </c>
      <c r="X9" s="93">
        <f>Users!X21/1000*Assumptions!$E$36</f>
        <v/>
      </c>
      <c r="Y9" s="93">
        <f>Users!Y21/1000*Assumptions!$E$36</f>
        <v/>
      </c>
      <c r="Z9" s="93">
        <f>Users!Z21/1000*Assumptions!$E$36</f>
        <v/>
      </c>
      <c r="AA9" s="93">
        <f>Users!AA21/1000*Assumptions!$E$36</f>
        <v/>
      </c>
      <c r="AB9" s="93">
        <f>Users!AB21/1000*Assumptions!$E$36</f>
        <v/>
      </c>
      <c r="AC9" s="93">
        <f>Users!AC21/1000*Assumptions!$E$36</f>
        <v/>
      </c>
      <c r="AD9" s="93">
        <f>Users!AD21/1000*Assumptions!$E$36</f>
        <v/>
      </c>
      <c r="AE9" s="93">
        <f>Users!AE21/1000*Assumptions!$E$36</f>
        <v/>
      </c>
      <c r="AF9" s="93">
        <f>Users!AF21/1000*Assumptions!$E$36</f>
        <v/>
      </c>
      <c r="AG9" s="93">
        <f>Users!AG21/1000*Assumptions!$E$36</f>
        <v/>
      </c>
      <c r="AH9" s="93">
        <f>Users!AH21/1000*Assumptions!$E$36</f>
        <v/>
      </c>
      <c r="AI9" s="93">
        <f>Users!AI21/1000*Assumptions!$E$36</f>
        <v/>
      </c>
      <c r="AJ9" s="93">
        <f>Users!AJ21/1000*Assumptions!$E$36</f>
        <v/>
      </c>
      <c r="AK9" s="93">
        <f>Users!AK21/1000*Assumptions!$E$36</f>
        <v/>
      </c>
    </row>
    <row r="10" ht="15" customHeight="1" s="53">
      <c r="A10" s="52" t="inlineStr">
        <is>
          <t>Content licences</t>
        </is>
      </c>
      <c r="B10" s="93">
        <f>Assumptions!$E$37</f>
        <v/>
      </c>
      <c r="C10" s="93">
        <f>Assumptions!$E$37</f>
        <v/>
      </c>
      <c r="D10" s="93">
        <f>Assumptions!$E$37</f>
        <v/>
      </c>
      <c r="E10" s="93">
        <f>Assumptions!$E$37</f>
        <v/>
      </c>
      <c r="F10" s="93">
        <f>Assumptions!$E$37</f>
        <v/>
      </c>
      <c r="G10" s="93">
        <f>Assumptions!$E$37</f>
        <v/>
      </c>
      <c r="H10" s="93">
        <f>Assumptions!$E$37</f>
        <v/>
      </c>
      <c r="I10" s="93">
        <f>Assumptions!$E$37</f>
        <v/>
      </c>
      <c r="J10" s="93">
        <f>Assumptions!$E$37</f>
        <v/>
      </c>
      <c r="K10" s="93">
        <f>Assumptions!$E$37</f>
        <v/>
      </c>
      <c r="L10" s="93">
        <f>Assumptions!$E$37</f>
        <v/>
      </c>
      <c r="M10" s="93">
        <f>Assumptions!$E$37</f>
        <v/>
      </c>
      <c r="N10" s="93">
        <f>Assumptions!$E$37</f>
        <v/>
      </c>
      <c r="O10" s="93">
        <f>Assumptions!$E$37</f>
        <v/>
      </c>
      <c r="P10" s="93">
        <f>Assumptions!$E$37</f>
        <v/>
      </c>
      <c r="Q10" s="93">
        <f>Assumptions!$E$37</f>
        <v/>
      </c>
      <c r="R10" s="93">
        <f>Assumptions!$E$37</f>
        <v/>
      </c>
      <c r="S10" s="93">
        <f>Assumptions!$E$37</f>
        <v/>
      </c>
      <c r="T10" s="93">
        <f>Assumptions!$E$37</f>
        <v/>
      </c>
      <c r="U10" s="93">
        <f>Assumptions!$E$37</f>
        <v/>
      </c>
      <c r="V10" s="93">
        <f>Assumptions!$E$37</f>
        <v/>
      </c>
      <c r="W10" s="93">
        <f>Assumptions!$E$37</f>
        <v/>
      </c>
      <c r="X10" s="93">
        <f>Assumptions!$E$37</f>
        <v/>
      </c>
      <c r="Y10" s="93">
        <f>Assumptions!$E$37</f>
        <v/>
      </c>
      <c r="Z10" s="93">
        <f>Assumptions!$E$37</f>
        <v/>
      </c>
      <c r="AA10" s="93">
        <f>Assumptions!$E$37</f>
        <v/>
      </c>
      <c r="AB10" s="93">
        <f>Assumptions!$E$37</f>
        <v/>
      </c>
      <c r="AC10" s="93">
        <f>Assumptions!$E$37</f>
        <v/>
      </c>
      <c r="AD10" s="93">
        <f>Assumptions!$E$37</f>
        <v/>
      </c>
      <c r="AE10" s="93">
        <f>Assumptions!$E$37</f>
        <v/>
      </c>
      <c r="AF10" s="93">
        <f>Assumptions!$E$37</f>
        <v/>
      </c>
      <c r="AG10" s="93">
        <f>Assumptions!$E$37</f>
        <v/>
      </c>
      <c r="AH10" s="93">
        <f>Assumptions!$E$37</f>
        <v/>
      </c>
      <c r="AI10" s="93">
        <f>Assumptions!$E$37</f>
        <v/>
      </c>
      <c r="AJ10" s="93">
        <f>Assumptions!$E$37</f>
        <v/>
      </c>
      <c r="AK10" s="93">
        <f>Assumptions!$E$37</f>
        <v/>
      </c>
    </row>
    <row r="11" ht="15" customHeight="1" s="53">
      <c r="A11" s="52" t="inlineStr">
        <is>
          <t>Paid marketing</t>
        </is>
      </c>
      <c r="B11" s="93">
        <f>IF(1&lt;3,0,Assumptions!$E$9)</f>
        <v/>
      </c>
      <c r="C11" s="93">
        <f>IF(2&lt;3,0,Assumptions!$E$9)</f>
        <v/>
      </c>
      <c r="D11" s="93">
        <f>IF(3&lt;3,0,Assumptions!$E$9)</f>
        <v/>
      </c>
      <c r="E11" s="93">
        <f>IF(4&lt;3,0,Assumptions!$E$9)</f>
        <v/>
      </c>
      <c r="F11" s="93">
        <f>IF(5&lt;3,0,Assumptions!$E$9)</f>
        <v/>
      </c>
      <c r="G11" s="93">
        <f>IF(6&lt;3,0,Assumptions!$E$9)</f>
        <v/>
      </c>
      <c r="H11" s="93">
        <f>IF(7&lt;3,0,Assumptions!$E$9)</f>
        <v/>
      </c>
      <c r="I11" s="93">
        <f>IF(8&lt;3,0,Assumptions!$E$9)</f>
        <v/>
      </c>
      <c r="J11" s="93">
        <f>IF(9&lt;3,0,Assumptions!$E$9)</f>
        <v/>
      </c>
      <c r="K11" s="93">
        <f>IF(10&lt;3,0,Assumptions!$E$9)</f>
        <v/>
      </c>
      <c r="L11" s="93">
        <f>IF(11&lt;3,0,Assumptions!$E$9)</f>
        <v/>
      </c>
      <c r="M11" s="93">
        <f>IF(12&lt;3,0,Assumptions!$E$9)</f>
        <v/>
      </c>
      <c r="N11" s="93">
        <f>IF(13&lt;3,0,Assumptions!$E$9)</f>
        <v/>
      </c>
      <c r="O11" s="93">
        <f>IF(14&lt;3,0,Assumptions!$E$9)</f>
        <v/>
      </c>
      <c r="P11" s="93">
        <f>IF(15&lt;3,0,Assumptions!$E$9)</f>
        <v/>
      </c>
      <c r="Q11" s="93">
        <f>IF(16&lt;3,0,Assumptions!$E$9)</f>
        <v/>
      </c>
      <c r="R11" s="93">
        <f>IF(17&lt;3,0,Assumptions!$E$9)</f>
        <v/>
      </c>
      <c r="S11" s="93">
        <f>IF(18&lt;3,0,Assumptions!$E$9)</f>
        <v/>
      </c>
      <c r="T11" s="93">
        <f>IF(19&lt;3,0,Assumptions!$E$9)</f>
        <v/>
      </c>
      <c r="U11" s="93">
        <f>IF(20&lt;3,0,Assumptions!$E$9)</f>
        <v/>
      </c>
      <c r="V11" s="93">
        <f>IF(21&lt;3,0,Assumptions!$E$9)</f>
        <v/>
      </c>
      <c r="W11" s="93">
        <f>IF(22&lt;3,0,Assumptions!$E$9)</f>
        <v/>
      </c>
      <c r="X11" s="93">
        <f>IF(23&lt;3,0,Assumptions!$E$9)</f>
        <v/>
      </c>
      <c r="Y11" s="93">
        <f>IF(24&lt;3,0,Assumptions!$E$9)</f>
        <v/>
      </c>
      <c r="Z11" s="93">
        <f>IF(25&lt;3,0,Assumptions!$E$9)</f>
        <v/>
      </c>
      <c r="AA11" s="93">
        <f>IF(26&lt;3,0,Assumptions!$E$9)</f>
        <v/>
      </c>
      <c r="AB11" s="93">
        <f>IF(27&lt;3,0,Assumptions!$E$9)</f>
        <v/>
      </c>
      <c r="AC11" s="93">
        <f>IF(28&lt;3,0,Assumptions!$E$9)</f>
        <v/>
      </c>
      <c r="AD11" s="93">
        <f>IF(29&lt;3,0,Assumptions!$E$9)</f>
        <v/>
      </c>
      <c r="AE11" s="93">
        <f>IF(30&lt;3,0,Assumptions!$E$9)</f>
        <v/>
      </c>
      <c r="AF11" s="93">
        <f>IF(31&lt;3,0,Assumptions!$E$9)</f>
        <v/>
      </c>
      <c r="AG11" s="93">
        <f>IF(32&lt;3,0,Assumptions!$E$9)</f>
        <v/>
      </c>
      <c r="AH11" s="93">
        <f>IF(33&lt;3,0,Assumptions!$E$9)</f>
        <v/>
      </c>
      <c r="AI11" s="93">
        <f>IF(34&lt;3,0,Assumptions!$E$9)</f>
        <v/>
      </c>
      <c r="AJ11" s="93">
        <f>IF(35&lt;3,0,Assumptions!$E$9)</f>
        <v/>
      </c>
      <c r="AK11" s="93">
        <f>IF(36&lt;3,0,Assumptions!$E$9)</f>
        <v/>
      </c>
    </row>
    <row r="13" ht="15" customHeight="1" s="53">
      <c r="A13" s="52" t="inlineStr">
        <is>
          <t>Founder salary</t>
        </is>
      </c>
      <c r="B13" s="93">
        <f>Assumptions!$E$40</f>
        <v/>
      </c>
      <c r="C13" s="93">
        <f>Assumptions!$E$40</f>
        <v/>
      </c>
      <c r="D13" s="93">
        <f>Assumptions!$E$40</f>
        <v/>
      </c>
      <c r="E13" s="93">
        <f>Assumptions!$E$40</f>
        <v/>
      </c>
      <c r="F13" s="93">
        <f>Assumptions!$E$40</f>
        <v/>
      </c>
      <c r="G13" s="93">
        <f>Assumptions!$E$40</f>
        <v/>
      </c>
      <c r="H13" s="93">
        <f>Assumptions!$E$40</f>
        <v/>
      </c>
      <c r="I13" s="93">
        <f>Assumptions!$E$40</f>
        <v/>
      </c>
      <c r="J13" s="93">
        <f>Assumptions!$E$40</f>
        <v/>
      </c>
      <c r="K13" s="93">
        <f>Assumptions!$E$40</f>
        <v/>
      </c>
      <c r="L13" s="93">
        <f>Assumptions!$E$40</f>
        <v/>
      </c>
      <c r="M13" s="93">
        <f>Assumptions!$E$40</f>
        <v/>
      </c>
      <c r="N13" s="93">
        <f>Assumptions!$E$40</f>
        <v/>
      </c>
      <c r="O13" s="93">
        <f>Assumptions!$E$40</f>
        <v/>
      </c>
      <c r="P13" s="93">
        <f>Assumptions!$E$40</f>
        <v/>
      </c>
      <c r="Q13" s="93">
        <f>Assumptions!$E$40</f>
        <v/>
      </c>
      <c r="R13" s="93">
        <f>Assumptions!$E$40</f>
        <v/>
      </c>
      <c r="S13" s="93">
        <f>Assumptions!$E$40</f>
        <v/>
      </c>
      <c r="T13" s="93">
        <f>Assumptions!$E$40</f>
        <v/>
      </c>
      <c r="U13" s="93">
        <f>Assumptions!$E$40</f>
        <v/>
      </c>
      <c r="V13" s="93">
        <f>Assumptions!$E$40</f>
        <v/>
      </c>
      <c r="W13" s="93">
        <f>Assumptions!$E$40</f>
        <v/>
      </c>
      <c r="X13" s="93">
        <f>Assumptions!$E$40</f>
        <v/>
      </c>
      <c r="Y13" s="93">
        <f>Assumptions!$E$40</f>
        <v/>
      </c>
      <c r="Z13" s="93">
        <f>Assumptions!$E$40</f>
        <v/>
      </c>
      <c r="AA13" s="93">
        <f>Assumptions!$E$40</f>
        <v/>
      </c>
      <c r="AB13" s="93">
        <f>Assumptions!$E$40</f>
        <v/>
      </c>
      <c r="AC13" s="93">
        <f>Assumptions!$E$40</f>
        <v/>
      </c>
      <c r="AD13" s="93">
        <f>Assumptions!$E$40</f>
        <v/>
      </c>
      <c r="AE13" s="93">
        <f>Assumptions!$E$40</f>
        <v/>
      </c>
      <c r="AF13" s="93">
        <f>Assumptions!$E$40</f>
        <v/>
      </c>
      <c r="AG13" s="93">
        <f>Assumptions!$E$40</f>
        <v/>
      </c>
      <c r="AH13" s="93">
        <f>Assumptions!$E$40</f>
        <v/>
      </c>
      <c r="AI13" s="93">
        <f>Assumptions!$E$40</f>
        <v/>
      </c>
      <c r="AJ13" s="93">
        <f>Assumptions!$E$40</f>
        <v/>
      </c>
      <c r="AK13" s="93">
        <f>Assumptions!$E$40</f>
        <v/>
      </c>
    </row>
    <row r="14" ht="15" customHeight="1" s="53">
      <c r="A14" s="52" t="inlineStr">
        <is>
          <t>Contractors</t>
        </is>
      </c>
      <c r="B14" s="93">
        <f>Assumptions!$E$41</f>
        <v/>
      </c>
      <c r="C14" s="93">
        <f>Assumptions!$E$41</f>
        <v/>
      </c>
      <c r="D14" s="93">
        <f>Assumptions!$E$41</f>
        <v/>
      </c>
      <c r="E14" s="93">
        <f>Assumptions!$E$41</f>
        <v/>
      </c>
      <c r="F14" s="93">
        <f>Assumptions!$E$41</f>
        <v/>
      </c>
      <c r="G14" s="93">
        <f>Assumptions!$E$41</f>
        <v/>
      </c>
      <c r="H14" s="93">
        <f>Assumptions!$E$41</f>
        <v/>
      </c>
      <c r="I14" s="93">
        <f>Assumptions!$E$41</f>
        <v/>
      </c>
      <c r="J14" s="93">
        <f>Assumptions!$E$41</f>
        <v/>
      </c>
      <c r="K14" s="93">
        <f>Assumptions!$E$41</f>
        <v/>
      </c>
      <c r="L14" s="93">
        <f>Assumptions!$E$41</f>
        <v/>
      </c>
      <c r="M14" s="93">
        <f>Assumptions!$E$41</f>
        <v/>
      </c>
      <c r="N14" s="93">
        <f>Assumptions!$E$41</f>
        <v/>
      </c>
      <c r="O14" s="93">
        <f>Assumptions!$E$41</f>
        <v/>
      </c>
      <c r="P14" s="93">
        <f>Assumptions!$E$41</f>
        <v/>
      </c>
      <c r="Q14" s="93">
        <f>Assumptions!$E$41</f>
        <v/>
      </c>
      <c r="R14" s="93">
        <f>Assumptions!$E$41</f>
        <v/>
      </c>
      <c r="S14" s="93">
        <f>Assumptions!$E$41</f>
        <v/>
      </c>
      <c r="T14" s="93">
        <f>Assumptions!$E$41</f>
        <v/>
      </c>
      <c r="U14" s="93">
        <f>Assumptions!$E$41</f>
        <v/>
      </c>
      <c r="V14" s="93">
        <f>Assumptions!$E$41</f>
        <v/>
      </c>
      <c r="W14" s="93">
        <f>Assumptions!$E$41</f>
        <v/>
      </c>
      <c r="X14" s="93">
        <f>Assumptions!$E$41</f>
        <v/>
      </c>
      <c r="Y14" s="93">
        <f>Assumptions!$E$41</f>
        <v/>
      </c>
      <c r="Z14" s="93">
        <f>Assumptions!$E$41</f>
        <v/>
      </c>
      <c r="AA14" s="93">
        <f>Assumptions!$E$41</f>
        <v/>
      </c>
      <c r="AB14" s="93">
        <f>Assumptions!$E$41</f>
        <v/>
      </c>
      <c r="AC14" s="93">
        <f>Assumptions!$E$41</f>
        <v/>
      </c>
      <c r="AD14" s="93">
        <f>Assumptions!$E$41</f>
        <v/>
      </c>
      <c r="AE14" s="93">
        <f>Assumptions!$E$41</f>
        <v/>
      </c>
      <c r="AF14" s="93">
        <f>Assumptions!$E$41</f>
        <v/>
      </c>
      <c r="AG14" s="93">
        <f>Assumptions!$E$41</f>
        <v/>
      </c>
      <c r="AH14" s="93">
        <f>Assumptions!$E$41</f>
        <v/>
      </c>
      <c r="AI14" s="93">
        <f>Assumptions!$E$41</f>
        <v/>
      </c>
      <c r="AJ14" s="93">
        <f>Assumptions!$E$41</f>
        <v/>
      </c>
      <c r="AK14" s="93">
        <f>Assumptions!$E$41</f>
        <v/>
      </c>
    </row>
    <row r="15" ht="15" customHeight="1" s="53">
      <c r="A15" s="52" t="inlineStr">
        <is>
          <t>Tools &amp; subs</t>
        </is>
      </c>
      <c r="B15" s="93">
        <f>Assumptions!$E$42</f>
        <v/>
      </c>
      <c r="C15" s="93">
        <f>Assumptions!$E$42</f>
        <v/>
      </c>
      <c r="D15" s="93">
        <f>Assumptions!$E$42</f>
        <v/>
      </c>
      <c r="E15" s="93">
        <f>Assumptions!$E$42</f>
        <v/>
      </c>
      <c r="F15" s="93">
        <f>Assumptions!$E$42</f>
        <v/>
      </c>
      <c r="G15" s="93">
        <f>Assumptions!$E$42</f>
        <v/>
      </c>
      <c r="H15" s="93">
        <f>Assumptions!$E$42</f>
        <v/>
      </c>
      <c r="I15" s="93">
        <f>Assumptions!$E$42</f>
        <v/>
      </c>
      <c r="J15" s="93">
        <f>Assumptions!$E$42</f>
        <v/>
      </c>
      <c r="K15" s="93">
        <f>Assumptions!$E$42</f>
        <v/>
      </c>
      <c r="L15" s="93">
        <f>Assumptions!$E$42</f>
        <v/>
      </c>
      <c r="M15" s="93">
        <f>Assumptions!$E$42</f>
        <v/>
      </c>
      <c r="N15" s="93">
        <f>Assumptions!$E$42</f>
        <v/>
      </c>
      <c r="O15" s="93">
        <f>Assumptions!$E$42</f>
        <v/>
      </c>
      <c r="P15" s="93">
        <f>Assumptions!$E$42</f>
        <v/>
      </c>
      <c r="Q15" s="93">
        <f>Assumptions!$E$42</f>
        <v/>
      </c>
      <c r="R15" s="93">
        <f>Assumptions!$E$42</f>
        <v/>
      </c>
      <c r="S15" s="93">
        <f>Assumptions!$E$42</f>
        <v/>
      </c>
      <c r="T15" s="93">
        <f>Assumptions!$E$42</f>
        <v/>
      </c>
      <c r="U15" s="93">
        <f>Assumptions!$E$42</f>
        <v/>
      </c>
      <c r="V15" s="93">
        <f>Assumptions!$E$42</f>
        <v/>
      </c>
      <c r="W15" s="93">
        <f>Assumptions!$E$42</f>
        <v/>
      </c>
      <c r="X15" s="93">
        <f>Assumptions!$E$42</f>
        <v/>
      </c>
      <c r="Y15" s="93">
        <f>Assumptions!$E$42</f>
        <v/>
      </c>
      <c r="Z15" s="93">
        <f>Assumptions!$E$42</f>
        <v/>
      </c>
      <c r="AA15" s="93">
        <f>Assumptions!$E$42</f>
        <v/>
      </c>
      <c r="AB15" s="93">
        <f>Assumptions!$E$42</f>
        <v/>
      </c>
      <c r="AC15" s="93">
        <f>Assumptions!$E$42</f>
        <v/>
      </c>
      <c r="AD15" s="93">
        <f>Assumptions!$E$42</f>
        <v/>
      </c>
      <c r="AE15" s="93">
        <f>Assumptions!$E$42</f>
        <v/>
      </c>
      <c r="AF15" s="93">
        <f>Assumptions!$E$42</f>
        <v/>
      </c>
      <c r="AG15" s="93">
        <f>Assumptions!$E$42</f>
        <v/>
      </c>
      <c r="AH15" s="93">
        <f>Assumptions!$E$42</f>
        <v/>
      </c>
      <c r="AI15" s="93">
        <f>Assumptions!$E$42</f>
        <v/>
      </c>
      <c r="AJ15" s="93">
        <f>Assumptions!$E$42</f>
        <v/>
      </c>
      <c r="AK15" s="93">
        <f>Assumptions!$E$42</f>
        <v/>
      </c>
    </row>
    <row r="16" ht="15" customHeight="1" s="53">
      <c r="A16" s="52" t="inlineStr">
        <is>
          <t>Legal/compliance</t>
        </is>
      </c>
      <c r="B16" s="93">
        <f>Assumptions!$E$43</f>
        <v/>
      </c>
      <c r="C16" s="93">
        <f>Assumptions!$E$43</f>
        <v/>
      </c>
      <c r="D16" s="93">
        <f>Assumptions!$E$43</f>
        <v/>
      </c>
      <c r="E16" s="93">
        <f>Assumptions!$E$43</f>
        <v/>
      </c>
      <c r="F16" s="93">
        <f>Assumptions!$E$43</f>
        <v/>
      </c>
      <c r="G16" s="93">
        <f>Assumptions!$E$43</f>
        <v/>
      </c>
      <c r="H16" s="93">
        <f>Assumptions!$E$43</f>
        <v/>
      </c>
      <c r="I16" s="93">
        <f>Assumptions!$E$43</f>
        <v/>
      </c>
      <c r="J16" s="93">
        <f>Assumptions!$E$43</f>
        <v/>
      </c>
      <c r="K16" s="93">
        <f>Assumptions!$E$43</f>
        <v/>
      </c>
      <c r="L16" s="93">
        <f>Assumptions!$E$43</f>
        <v/>
      </c>
      <c r="M16" s="93">
        <f>Assumptions!$E$43</f>
        <v/>
      </c>
      <c r="N16" s="93">
        <f>Assumptions!$E$43</f>
        <v/>
      </c>
      <c r="O16" s="93">
        <f>Assumptions!$E$43</f>
        <v/>
      </c>
      <c r="P16" s="93">
        <f>Assumptions!$E$43</f>
        <v/>
      </c>
      <c r="Q16" s="93">
        <f>Assumptions!$E$43</f>
        <v/>
      </c>
      <c r="R16" s="93">
        <f>Assumptions!$E$43</f>
        <v/>
      </c>
      <c r="S16" s="93">
        <f>Assumptions!$E$43</f>
        <v/>
      </c>
      <c r="T16" s="93">
        <f>Assumptions!$E$43</f>
        <v/>
      </c>
      <c r="U16" s="93">
        <f>Assumptions!$E$43</f>
        <v/>
      </c>
      <c r="V16" s="93">
        <f>Assumptions!$E$43</f>
        <v/>
      </c>
      <c r="W16" s="93">
        <f>Assumptions!$E$43</f>
        <v/>
      </c>
      <c r="X16" s="93">
        <f>Assumptions!$E$43</f>
        <v/>
      </c>
      <c r="Y16" s="93">
        <f>Assumptions!$E$43</f>
        <v/>
      </c>
      <c r="Z16" s="93">
        <f>Assumptions!$E$43</f>
        <v/>
      </c>
      <c r="AA16" s="93">
        <f>Assumptions!$E$43</f>
        <v/>
      </c>
      <c r="AB16" s="93">
        <f>Assumptions!$E$43</f>
        <v/>
      </c>
      <c r="AC16" s="93">
        <f>Assumptions!$E$43</f>
        <v/>
      </c>
      <c r="AD16" s="93">
        <f>Assumptions!$E$43</f>
        <v/>
      </c>
      <c r="AE16" s="93">
        <f>Assumptions!$E$43</f>
        <v/>
      </c>
      <c r="AF16" s="93">
        <f>Assumptions!$E$43</f>
        <v/>
      </c>
      <c r="AG16" s="93">
        <f>Assumptions!$E$43</f>
        <v/>
      </c>
      <c r="AH16" s="93">
        <f>Assumptions!$E$43</f>
        <v/>
      </c>
      <c r="AI16" s="93">
        <f>Assumptions!$E$43</f>
        <v/>
      </c>
      <c r="AJ16" s="93">
        <f>Assumptions!$E$43</f>
        <v/>
      </c>
      <c r="AK16" s="93">
        <f>Assumptions!$E$43</f>
        <v/>
      </c>
    </row>
    <row r="17" ht="15" customHeight="1" s="53">
      <c r="A17" s="52" t="inlineStr">
        <is>
          <t>Insurance &amp; misc</t>
        </is>
      </c>
      <c r="B17" s="93">
        <f>Assumptions!$E$44</f>
        <v/>
      </c>
      <c r="C17" s="93">
        <f>Assumptions!$E$44</f>
        <v/>
      </c>
      <c r="D17" s="93">
        <f>Assumptions!$E$44</f>
        <v/>
      </c>
      <c r="E17" s="93">
        <f>Assumptions!$E$44</f>
        <v/>
      </c>
      <c r="F17" s="93">
        <f>Assumptions!$E$44</f>
        <v/>
      </c>
      <c r="G17" s="93">
        <f>Assumptions!$E$44</f>
        <v/>
      </c>
      <c r="H17" s="93">
        <f>Assumptions!$E$44</f>
        <v/>
      </c>
      <c r="I17" s="93">
        <f>Assumptions!$E$44</f>
        <v/>
      </c>
      <c r="J17" s="93">
        <f>Assumptions!$E$44</f>
        <v/>
      </c>
      <c r="K17" s="93">
        <f>Assumptions!$E$44</f>
        <v/>
      </c>
      <c r="L17" s="93">
        <f>Assumptions!$E$44</f>
        <v/>
      </c>
      <c r="M17" s="93">
        <f>Assumptions!$E$44</f>
        <v/>
      </c>
      <c r="N17" s="93">
        <f>Assumptions!$E$44</f>
        <v/>
      </c>
      <c r="O17" s="93">
        <f>Assumptions!$E$44</f>
        <v/>
      </c>
      <c r="P17" s="93">
        <f>Assumptions!$E$44</f>
        <v/>
      </c>
      <c r="Q17" s="93">
        <f>Assumptions!$E$44</f>
        <v/>
      </c>
      <c r="R17" s="93">
        <f>Assumptions!$E$44</f>
        <v/>
      </c>
      <c r="S17" s="93">
        <f>Assumptions!$E$44</f>
        <v/>
      </c>
      <c r="T17" s="93">
        <f>Assumptions!$E$44</f>
        <v/>
      </c>
      <c r="U17" s="93">
        <f>Assumptions!$E$44</f>
        <v/>
      </c>
      <c r="V17" s="93">
        <f>Assumptions!$E$44</f>
        <v/>
      </c>
      <c r="W17" s="93">
        <f>Assumptions!$E$44</f>
        <v/>
      </c>
      <c r="X17" s="93">
        <f>Assumptions!$E$44</f>
        <v/>
      </c>
      <c r="Y17" s="93">
        <f>Assumptions!$E$44</f>
        <v/>
      </c>
      <c r="Z17" s="93">
        <f>Assumptions!$E$44</f>
        <v/>
      </c>
      <c r="AA17" s="93">
        <f>Assumptions!$E$44</f>
        <v/>
      </c>
      <c r="AB17" s="93">
        <f>Assumptions!$E$44</f>
        <v/>
      </c>
      <c r="AC17" s="93">
        <f>Assumptions!$E$44</f>
        <v/>
      </c>
      <c r="AD17" s="93">
        <f>Assumptions!$E$44</f>
        <v/>
      </c>
      <c r="AE17" s="93">
        <f>Assumptions!$E$44</f>
        <v/>
      </c>
      <c r="AF17" s="93">
        <f>Assumptions!$E$44</f>
        <v/>
      </c>
      <c r="AG17" s="93">
        <f>Assumptions!$E$44</f>
        <v/>
      </c>
      <c r="AH17" s="93">
        <f>Assumptions!$E$44</f>
        <v/>
      </c>
      <c r="AI17" s="93">
        <f>Assumptions!$E$44</f>
        <v/>
      </c>
      <c r="AJ17" s="93">
        <f>Assumptions!$E$44</f>
        <v/>
      </c>
      <c r="AK17" s="93">
        <f>Assumptions!$E$44</f>
        <v/>
      </c>
    </row>
    <row r="19" ht="15" customHeight="1" s="53">
      <c r="A19" s="95" t="inlineStr">
        <is>
          <t>TOTAL COSTS</t>
        </is>
      </c>
      <c r="B19" s="92">
        <f>SUM(B4:B7)+SUM(B9:B11)+SUM(B13:B17)</f>
        <v/>
      </c>
      <c r="C19" s="92">
        <f>SUM(C4:C7)+SUM(C9:C11)+SUM(C13:C17)</f>
        <v/>
      </c>
      <c r="D19" s="92">
        <f>SUM(D4:D7)+SUM(D9:D11)+SUM(D13:D17)</f>
        <v/>
      </c>
      <c r="E19" s="92">
        <f>SUM(E4:E7)+SUM(E9:E11)+SUM(E13:E17)</f>
        <v/>
      </c>
      <c r="F19" s="92">
        <f>SUM(F4:F7)+SUM(F9:F11)+SUM(F13:F17)</f>
        <v/>
      </c>
      <c r="G19" s="92">
        <f>SUM(G4:G7)+SUM(G9:G11)+SUM(G13:G17)</f>
        <v/>
      </c>
      <c r="H19" s="92">
        <f>SUM(H4:H7)+SUM(H9:H11)+SUM(H13:H17)</f>
        <v/>
      </c>
      <c r="I19" s="92">
        <f>SUM(I4:I7)+SUM(I9:I11)+SUM(I13:I17)</f>
        <v/>
      </c>
      <c r="J19" s="92">
        <f>SUM(J4:J7)+SUM(J9:J11)+SUM(J13:J17)</f>
        <v/>
      </c>
      <c r="K19" s="92">
        <f>SUM(K4:K7)+SUM(K9:K11)+SUM(K13:K17)</f>
        <v/>
      </c>
      <c r="L19" s="92">
        <f>SUM(L4:L7)+SUM(L9:L11)+SUM(L13:L17)</f>
        <v/>
      </c>
      <c r="M19" s="92">
        <f>SUM(M4:M7)+SUM(M9:M11)+SUM(M13:M17)</f>
        <v/>
      </c>
      <c r="N19" s="92">
        <f>SUM(N4:N7)+SUM(N9:N11)+SUM(N13:N17)</f>
        <v/>
      </c>
      <c r="O19" s="92">
        <f>SUM(O4:O7)+SUM(O9:O11)+SUM(O13:O17)</f>
        <v/>
      </c>
      <c r="P19" s="92">
        <f>SUM(P4:P7)+SUM(P9:P11)+SUM(P13:P17)</f>
        <v/>
      </c>
      <c r="Q19" s="92">
        <f>SUM(Q4:Q7)+SUM(Q9:Q11)+SUM(Q13:Q17)</f>
        <v/>
      </c>
      <c r="R19" s="92">
        <f>SUM(R4:R7)+SUM(R9:R11)+SUM(R13:R17)</f>
        <v/>
      </c>
      <c r="S19" s="92">
        <f>SUM(S4:S7)+SUM(S9:S11)+SUM(S13:S17)</f>
        <v/>
      </c>
      <c r="T19" s="92">
        <f>SUM(T4:T7)+SUM(T9:T11)+SUM(T13:T17)</f>
        <v/>
      </c>
      <c r="U19" s="92">
        <f>SUM(U4:U7)+SUM(U9:U11)+SUM(U13:U17)</f>
        <v/>
      </c>
      <c r="V19" s="92">
        <f>SUM(V4:V7)+SUM(V9:V11)+SUM(V13:V17)</f>
        <v/>
      </c>
      <c r="W19" s="92">
        <f>SUM(W4:W7)+SUM(W9:W11)+SUM(W13:W17)</f>
        <v/>
      </c>
      <c r="X19" s="92">
        <f>SUM(X4:X7)+SUM(X9:X11)+SUM(X13:X17)</f>
        <v/>
      </c>
      <c r="Y19" s="92">
        <f>SUM(Y4:Y7)+SUM(Y9:Y11)+SUM(Y13:Y17)</f>
        <v/>
      </c>
      <c r="Z19" s="92">
        <f>SUM(Z4:Z7)+SUM(Z9:Z11)+SUM(Z13:Z17)</f>
        <v/>
      </c>
      <c r="AA19" s="92">
        <f>SUM(AA4:AA7)+SUM(AA9:AA11)+SUM(AA13:AA17)</f>
        <v/>
      </c>
      <c r="AB19" s="92">
        <f>SUM(AB4:AB7)+SUM(AB9:AB11)+SUM(AB13:AB17)</f>
        <v/>
      </c>
      <c r="AC19" s="92">
        <f>SUM(AC4:AC7)+SUM(AC9:AC11)+SUM(AC13:AC17)</f>
        <v/>
      </c>
      <c r="AD19" s="92">
        <f>SUM(AD4:AD7)+SUM(AD9:AD11)+SUM(AD13:AD17)</f>
        <v/>
      </c>
      <c r="AE19" s="92">
        <f>SUM(AE4:AE7)+SUM(AE9:AE11)+SUM(AE13:AE17)</f>
        <v/>
      </c>
      <c r="AF19" s="92">
        <f>SUM(AF4:AF7)+SUM(AF9:AF11)+SUM(AF13:AF17)</f>
        <v/>
      </c>
      <c r="AG19" s="92">
        <f>SUM(AG4:AG7)+SUM(AG9:AG11)+SUM(AG13:AG17)</f>
        <v/>
      </c>
      <c r="AH19" s="92">
        <f>SUM(AH4:AH7)+SUM(AH9:AH11)+SUM(AH13:AH17)</f>
        <v/>
      </c>
      <c r="AI19" s="92">
        <f>SUM(AI4:AI7)+SUM(AI9:AI11)+SUM(AI13:AI17)</f>
        <v/>
      </c>
      <c r="AJ19" s="92">
        <f>SUM(AJ4:AJ7)+SUM(AJ9:AJ11)+SUM(AJ13:AJ17)</f>
        <v/>
      </c>
      <c r="AK19" s="92">
        <f>SUM(AK4:AK7)+SUM(AK9:AK11)+SUM(AK13:AK17)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K9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baseColWidth="8" defaultColWidth="8.6796875" defaultRowHeight="15" zeroHeight="0" outlineLevelRow="0"/>
  <cols>
    <col width="40" customWidth="1" style="52" min="1" max="1"/>
    <col width="10" customWidth="1" style="52" min="2" max="37"/>
  </cols>
  <sheetData>
    <row r="1" ht="22.05" customHeight="1" s="53">
      <c r="A1" s="66" t="inlineStr">
        <is>
          <t>PROFIT &amp; LOSS (USD)</t>
        </is>
      </c>
    </row>
    <row r="3" ht="15" customHeight="1" s="53">
      <c r="A3" s="85" t="inlineStr">
        <is>
          <t>Line</t>
        </is>
      </c>
      <c r="B3" s="68" t="inlineStr">
        <is>
          <t>M1</t>
        </is>
      </c>
      <c r="C3" s="68" t="inlineStr">
        <is>
          <t>M2</t>
        </is>
      </c>
      <c r="D3" s="68" t="inlineStr">
        <is>
          <t>M3</t>
        </is>
      </c>
      <c r="E3" s="68" t="inlineStr">
        <is>
          <t>M4</t>
        </is>
      </c>
      <c r="F3" s="68" t="inlineStr">
        <is>
          <t>M5</t>
        </is>
      </c>
      <c r="G3" s="68" t="inlineStr">
        <is>
          <t>M6</t>
        </is>
      </c>
      <c r="H3" s="68" t="inlineStr">
        <is>
          <t>M7</t>
        </is>
      </c>
      <c r="I3" s="68" t="inlineStr">
        <is>
          <t>M8</t>
        </is>
      </c>
      <c r="J3" s="68" t="inlineStr">
        <is>
          <t>M9</t>
        </is>
      </c>
      <c r="K3" s="68" t="inlineStr">
        <is>
          <t>M10</t>
        </is>
      </c>
      <c r="L3" s="68" t="inlineStr">
        <is>
          <t>M11</t>
        </is>
      </c>
      <c r="M3" s="68" t="inlineStr">
        <is>
          <t>M12</t>
        </is>
      </c>
      <c r="N3" s="68" t="inlineStr">
        <is>
          <t>M13</t>
        </is>
      </c>
      <c r="O3" s="68" t="inlineStr">
        <is>
          <t>M14</t>
        </is>
      </c>
      <c r="P3" s="68" t="inlineStr">
        <is>
          <t>M15</t>
        </is>
      </c>
      <c r="Q3" s="68" t="inlineStr">
        <is>
          <t>M16</t>
        </is>
      </c>
      <c r="R3" s="68" t="inlineStr">
        <is>
          <t>M17</t>
        </is>
      </c>
      <c r="S3" s="68" t="inlineStr">
        <is>
          <t>M18</t>
        </is>
      </c>
      <c r="T3" s="68" t="inlineStr">
        <is>
          <t>M19</t>
        </is>
      </c>
      <c r="U3" s="68" t="inlineStr">
        <is>
          <t>M20</t>
        </is>
      </c>
      <c r="V3" s="68" t="inlineStr">
        <is>
          <t>M21</t>
        </is>
      </c>
      <c r="W3" s="68" t="inlineStr">
        <is>
          <t>M22</t>
        </is>
      </c>
      <c r="X3" s="68" t="inlineStr">
        <is>
          <t>M23</t>
        </is>
      </c>
      <c r="Y3" s="68" t="inlineStr">
        <is>
          <t>M24</t>
        </is>
      </c>
      <c r="Z3" s="68" t="inlineStr">
        <is>
          <t>M25</t>
        </is>
      </c>
      <c r="AA3" s="68" t="inlineStr">
        <is>
          <t>M26</t>
        </is>
      </c>
      <c r="AB3" s="68" t="inlineStr">
        <is>
          <t>M27</t>
        </is>
      </c>
      <c r="AC3" s="68" t="inlineStr">
        <is>
          <t>M28</t>
        </is>
      </c>
      <c r="AD3" s="68" t="inlineStr">
        <is>
          <t>M29</t>
        </is>
      </c>
      <c r="AE3" s="68" t="inlineStr">
        <is>
          <t>M30</t>
        </is>
      </c>
      <c r="AF3" s="68" t="inlineStr">
        <is>
          <t>M31</t>
        </is>
      </c>
      <c r="AG3" s="68" t="inlineStr">
        <is>
          <t>M32</t>
        </is>
      </c>
      <c r="AH3" s="68" t="inlineStr">
        <is>
          <t>M33</t>
        </is>
      </c>
      <c r="AI3" s="68" t="inlineStr">
        <is>
          <t>M34</t>
        </is>
      </c>
      <c r="AJ3" s="68" t="inlineStr">
        <is>
          <t>M35</t>
        </is>
      </c>
      <c r="AK3" s="68" t="inlineStr">
        <is>
          <t>M36</t>
        </is>
      </c>
    </row>
    <row r="4" ht="15" customHeight="1" s="53">
      <c r="A4" s="59" t="inlineStr">
        <is>
          <t>Net revenue</t>
        </is>
      </c>
      <c r="B4" s="91">
        <f>Revenue!B13</f>
        <v/>
      </c>
      <c r="C4" s="91">
        <f>Revenue!C13</f>
        <v/>
      </c>
      <c r="D4" s="91">
        <f>Revenue!D13</f>
        <v/>
      </c>
      <c r="E4" s="91">
        <f>Revenue!E13</f>
        <v/>
      </c>
      <c r="F4" s="91">
        <f>Revenue!F13</f>
        <v/>
      </c>
      <c r="G4" s="91">
        <f>Revenue!G13</f>
        <v/>
      </c>
      <c r="H4" s="91">
        <f>Revenue!H13</f>
        <v/>
      </c>
      <c r="I4" s="91">
        <f>Revenue!I13</f>
        <v/>
      </c>
      <c r="J4" s="91">
        <f>Revenue!J13</f>
        <v/>
      </c>
      <c r="K4" s="91">
        <f>Revenue!K13</f>
        <v/>
      </c>
      <c r="L4" s="91">
        <f>Revenue!L13</f>
        <v/>
      </c>
      <c r="M4" s="91">
        <f>Revenue!M13</f>
        <v/>
      </c>
      <c r="N4" s="91">
        <f>Revenue!N13</f>
        <v/>
      </c>
      <c r="O4" s="91">
        <f>Revenue!O13</f>
        <v/>
      </c>
      <c r="P4" s="91">
        <f>Revenue!P13</f>
        <v/>
      </c>
      <c r="Q4" s="91">
        <f>Revenue!Q13</f>
        <v/>
      </c>
      <c r="R4" s="91">
        <f>Revenue!R13</f>
        <v/>
      </c>
      <c r="S4" s="91">
        <f>Revenue!S13</f>
        <v/>
      </c>
      <c r="T4" s="91">
        <f>Revenue!T13</f>
        <v/>
      </c>
      <c r="U4" s="91">
        <f>Revenue!U13</f>
        <v/>
      </c>
      <c r="V4" s="91">
        <f>Revenue!V13</f>
        <v/>
      </c>
      <c r="W4" s="91">
        <f>Revenue!W13</f>
        <v/>
      </c>
      <c r="X4" s="91">
        <f>Revenue!X13</f>
        <v/>
      </c>
      <c r="Y4" s="91">
        <f>Revenue!Y13</f>
        <v/>
      </c>
      <c r="Z4" s="91">
        <f>Revenue!Z13</f>
        <v/>
      </c>
      <c r="AA4" s="91">
        <f>Revenue!AA13</f>
        <v/>
      </c>
      <c r="AB4" s="91">
        <f>Revenue!AB13</f>
        <v/>
      </c>
      <c r="AC4" s="91">
        <f>Revenue!AC13</f>
        <v/>
      </c>
      <c r="AD4" s="91">
        <f>Revenue!AD13</f>
        <v/>
      </c>
      <c r="AE4" s="91">
        <f>Revenue!AE13</f>
        <v/>
      </c>
      <c r="AF4" s="91">
        <f>Revenue!AF13</f>
        <v/>
      </c>
      <c r="AG4" s="91">
        <f>Revenue!AG13</f>
        <v/>
      </c>
      <c r="AH4" s="91">
        <f>Revenue!AH13</f>
        <v/>
      </c>
      <c r="AI4" s="91">
        <f>Revenue!AI13</f>
        <v/>
      </c>
      <c r="AJ4" s="91">
        <f>Revenue!AJ13</f>
        <v/>
      </c>
      <c r="AK4" s="91">
        <f>Revenue!AK13</f>
        <v/>
      </c>
    </row>
    <row r="5" ht="15" customHeight="1" s="53">
      <c r="A5" s="52" t="inlineStr">
        <is>
          <t>Total costs</t>
        </is>
      </c>
      <c r="B5" s="91">
        <f>-Costs!B19</f>
        <v/>
      </c>
      <c r="C5" s="91">
        <f>-Costs!C19</f>
        <v/>
      </c>
      <c r="D5" s="91">
        <f>-Costs!D19</f>
        <v/>
      </c>
      <c r="E5" s="91">
        <f>-Costs!E19</f>
        <v/>
      </c>
      <c r="F5" s="91">
        <f>-Costs!F19</f>
        <v/>
      </c>
      <c r="G5" s="91">
        <f>-Costs!G19</f>
        <v/>
      </c>
      <c r="H5" s="91">
        <f>-Costs!H19</f>
        <v/>
      </c>
      <c r="I5" s="91">
        <f>-Costs!I19</f>
        <v/>
      </c>
      <c r="J5" s="91">
        <f>-Costs!J19</f>
        <v/>
      </c>
      <c r="K5" s="91">
        <f>-Costs!K19</f>
        <v/>
      </c>
      <c r="L5" s="91">
        <f>-Costs!L19</f>
        <v/>
      </c>
      <c r="M5" s="91">
        <f>-Costs!M19</f>
        <v/>
      </c>
      <c r="N5" s="91">
        <f>-Costs!N19</f>
        <v/>
      </c>
      <c r="O5" s="91">
        <f>-Costs!O19</f>
        <v/>
      </c>
      <c r="P5" s="91">
        <f>-Costs!P19</f>
        <v/>
      </c>
      <c r="Q5" s="91">
        <f>-Costs!Q19</f>
        <v/>
      </c>
      <c r="R5" s="91">
        <f>-Costs!R19</f>
        <v/>
      </c>
      <c r="S5" s="91">
        <f>-Costs!S19</f>
        <v/>
      </c>
      <c r="T5" s="91">
        <f>-Costs!T19</f>
        <v/>
      </c>
      <c r="U5" s="91">
        <f>-Costs!U19</f>
        <v/>
      </c>
      <c r="V5" s="91">
        <f>-Costs!V19</f>
        <v/>
      </c>
      <c r="W5" s="91">
        <f>-Costs!W19</f>
        <v/>
      </c>
      <c r="X5" s="91">
        <f>-Costs!X19</f>
        <v/>
      </c>
      <c r="Y5" s="91">
        <f>-Costs!Y19</f>
        <v/>
      </c>
      <c r="Z5" s="91">
        <f>-Costs!Z19</f>
        <v/>
      </c>
      <c r="AA5" s="91">
        <f>-Costs!AA19</f>
        <v/>
      </c>
      <c r="AB5" s="91">
        <f>-Costs!AB19</f>
        <v/>
      </c>
      <c r="AC5" s="91">
        <f>-Costs!AC19</f>
        <v/>
      </c>
      <c r="AD5" s="91">
        <f>-Costs!AD19</f>
        <v/>
      </c>
      <c r="AE5" s="91">
        <f>-Costs!AE19</f>
        <v/>
      </c>
      <c r="AF5" s="91">
        <f>-Costs!AF19</f>
        <v/>
      </c>
      <c r="AG5" s="91">
        <f>-Costs!AG19</f>
        <v/>
      </c>
      <c r="AH5" s="91">
        <f>-Costs!AH19</f>
        <v/>
      </c>
      <c r="AI5" s="91">
        <f>-Costs!AI19</f>
        <v/>
      </c>
      <c r="AJ5" s="91">
        <f>-Costs!AJ19</f>
        <v/>
      </c>
      <c r="AK5" s="91">
        <f>-Costs!AK19</f>
        <v/>
      </c>
    </row>
    <row r="7" ht="15" customHeight="1" s="53">
      <c r="A7" s="85" t="inlineStr">
        <is>
          <t>EBITDA</t>
        </is>
      </c>
      <c r="B7" s="92">
        <f>B4+B5</f>
        <v/>
      </c>
      <c r="C7" s="92">
        <f>C4+C5</f>
        <v/>
      </c>
      <c r="D7" s="92">
        <f>D4+D5</f>
        <v/>
      </c>
      <c r="E7" s="92">
        <f>E4+E5</f>
        <v/>
      </c>
      <c r="F7" s="92">
        <f>F4+F5</f>
        <v/>
      </c>
      <c r="G7" s="92">
        <f>G4+G5</f>
        <v/>
      </c>
      <c r="H7" s="92">
        <f>H4+H5</f>
        <v/>
      </c>
      <c r="I7" s="92">
        <f>I4+I5</f>
        <v/>
      </c>
      <c r="J7" s="92">
        <f>J4+J5</f>
        <v/>
      </c>
      <c r="K7" s="92">
        <f>K4+K5</f>
        <v/>
      </c>
      <c r="L7" s="92">
        <f>L4+L5</f>
        <v/>
      </c>
      <c r="M7" s="92">
        <f>M4+M5</f>
        <v/>
      </c>
      <c r="N7" s="92">
        <f>N4+N5</f>
        <v/>
      </c>
      <c r="O7" s="92">
        <f>O4+O5</f>
        <v/>
      </c>
      <c r="P7" s="92">
        <f>P4+P5</f>
        <v/>
      </c>
      <c r="Q7" s="92">
        <f>Q4+Q5</f>
        <v/>
      </c>
      <c r="R7" s="92">
        <f>R4+R5</f>
        <v/>
      </c>
      <c r="S7" s="92">
        <f>S4+S5</f>
        <v/>
      </c>
      <c r="T7" s="92">
        <f>T4+T5</f>
        <v/>
      </c>
      <c r="U7" s="92">
        <f>U4+U5</f>
        <v/>
      </c>
      <c r="V7" s="92">
        <f>V4+V5</f>
        <v/>
      </c>
      <c r="W7" s="92">
        <f>W4+W5</f>
        <v/>
      </c>
      <c r="X7" s="92">
        <f>X4+X5</f>
        <v/>
      </c>
      <c r="Y7" s="92">
        <f>Y4+Y5</f>
        <v/>
      </c>
      <c r="Z7" s="92">
        <f>Z4+Z5</f>
        <v/>
      </c>
      <c r="AA7" s="92">
        <f>AA4+AA5</f>
        <v/>
      </c>
      <c r="AB7" s="92">
        <f>AB4+AB5</f>
        <v/>
      </c>
      <c r="AC7" s="92">
        <f>AC4+AC5</f>
        <v/>
      </c>
      <c r="AD7" s="92">
        <f>AD4+AD5</f>
        <v/>
      </c>
      <c r="AE7" s="92">
        <f>AE4+AE5</f>
        <v/>
      </c>
      <c r="AF7" s="92">
        <f>AF4+AF5</f>
        <v/>
      </c>
      <c r="AG7" s="92">
        <f>AG4+AG5</f>
        <v/>
      </c>
      <c r="AH7" s="92">
        <f>AH4+AH5</f>
        <v/>
      </c>
      <c r="AI7" s="92">
        <f>AI4+AI5</f>
        <v/>
      </c>
      <c r="AJ7" s="92">
        <f>AJ4+AJ5</f>
        <v/>
      </c>
      <c r="AK7" s="92">
        <f>AK4+AK5</f>
        <v/>
      </c>
    </row>
    <row r="9" ht="15" customHeight="1" s="53">
      <c r="A9" s="90" t="inlineStr">
        <is>
          <t>Cumulative cash</t>
        </is>
      </c>
      <c r="B9" s="92">
        <f>B7</f>
        <v/>
      </c>
      <c r="C9" s="92">
        <f>B9+C7</f>
        <v/>
      </c>
      <c r="D9" s="92">
        <f>C9+D7</f>
        <v/>
      </c>
      <c r="E9" s="92">
        <f>D9+E7</f>
        <v/>
      </c>
      <c r="F9" s="92">
        <f>E9+F7</f>
        <v/>
      </c>
      <c r="G9" s="92">
        <f>F9+G7</f>
        <v/>
      </c>
      <c r="H9" s="92">
        <f>G9+H7</f>
        <v/>
      </c>
      <c r="I9" s="92">
        <f>H9+I7</f>
        <v/>
      </c>
      <c r="J9" s="92">
        <f>I9+J7</f>
        <v/>
      </c>
      <c r="K9" s="92">
        <f>J9+K7</f>
        <v/>
      </c>
      <c r="L9" s="92">
        <f>K9+L7</f>
        <v/>
      </c>
      <c r="M9" s="92">
        <f>L9+M7</f>
        <v/>
      </c>
      <c r="N9" s="92">
        <f>M9+N7</f>
        <v/>
      </c>
      <c r="O9" s="92">
        <f>N9+O7</f>
        <v/>
      </c>
      <c r="P9" s="92">
        <f>O9+P7</f>
        <v/>
      </c>
      <c r="Q9" s="92">
        <f>P9+Q7</f>
        <v/>
      </c>
      <c r="R9" s="92">
        <f>Q9+R7</f>
        <v/>
      </c>
      <c r="S9" s="92">
        <f>R9+S7</f>
        <v/>
      </c>
      <c r="T9" s="92">
        <f>S9+T7</f>
        <v/>
      </c>
      <c r="U9" s="92">
        <f>T9+U7</f>
        <v/>
      </c>
      <c r="V9" s="92">
        <f>U9+V7</f>
        <v/>
      </c>
      <c r="W9" s="92">
        <f>V9+W7</f>
        <v/>
      </c>
      <c r="X9" s="92">
        <f>W9+X7</f>
        <v/>
      </c>
      <c r="Y9" s="92">
        <f>X9+Y7</f>
        <v/>
      </c>
      <c r="Z9" s="92">
        <f>Y9+Z7</f>
        <v/>
      </c>
      <c r="AA9" s="92">
        <f>Z9+AA7</f>
        <v/>
      </c>
      <c r="AB9" s="92">
        <f>AA9+AB7</f>
        <v/>
      </c>
      <c r="AC9" s="92">
        <f>AB9+AC7</f>
        <v/>
      </c>
      <c r="AD9" s="92">
        <f>AC9+AD7</f>
        <v/>
      </c>
      <c r="AE9" s="92">
        <f>AD9+AE7</f>
        <v/>
      </c>
      <c r="AF9" s="92">
        <f>AE9+AF7</f>
        <v/>
      </c>
      <c r="AG9" s="92">
        <f>AF9+AG7</f>
        <v/>
      </c>
      <c r="AH9" s="92">
        <f>AG9+AH7</f>
        <v/>
      </c>
      <c r="AI9" s="92">
        <f>AH9+AI7</f>
        <v/>
      </c>
      <c r="AJ9" s="92">
        <f>AI9+AJ7</f>
        <v/>
      </c>
      <c r="AK9" s="92">
        <f>AJ9+AK7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E35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zeroHeight="0" outlineLevelRow="0"/>
  <cols>
    <col width="45" customWidth="1" style="52" min="1" max="1"/>
    <col width="16" customWidth="1" style="52" min="2" max="5"/>
  </cols>
  <sheetData>
    <row r="1" ht="26.8" customHeight="1" s="53">
      <c r="A1" s="96" t="inlineStr">
        <is>
          <t>EXECUTIVE SUMMARY (USD)</t>
        </is>
      </c>
    </row>
    <row r="2" ht="15" customHeight="1" s="53">
      <c r="A2" s="97">
        <f>CONCATENATE("Scenario: ",Cover!C9,"   |   Strategy: Tight free")</f>
        <v/>
      </c>
    </row>
    <row r="4" ht="15" customHeight="1" s="53">
      <c r="A4" s="98" t="inlineStr">
        <is>
          <t>KEY METRICS</t>
        </is>
      </c>
    </row>
    <row r="5" ht="15" customHeight="1" s="53">
      <c r="A5" s="68" t="inlineStr">
        <is>
          <t>Metric</t>
        </is>
      </c>
      <c r="B5" s="68" t="inlineStr">
        <is>
          <t>Year 1</t>
        </is>
      </c>
      <c r="C5" s="68" t="inlineStr">
        <is>
          <t>Year 2</t>
        </is>
      </c>
      <c r="D5" s="68" t="inlineStr">
        <is>
          <t>Year 3</t>
        </is>
      </c>
      <c r="E5" s="68" t="inlineStr">
        <is>
          <t>Total</t>
        </is>
      </c>
    </row>
    <row r="6" ht="15" customHeight="1" s="53">
      <c r="A6" s="63" t="inlineStr">
        <is>
          <t>Net revenue ($)</t>
        </is>
      </c>
      <c r="B6" s="91">
        <f>SUM(Revenue!B13:M13)</f>
        <v/>
      </c>
      <c r="C6" s="91">
        <f>SUM(Revenue!N13:Y13)</f>
        <v/>
      </c>
      <c r="D6" s="91">
        <f>SUM(Revenue!Z13:AK13)</f>
        <v/>
      </c>
      <c r="E6" s="92">
        <f>B6+C6+D6</f>
        <v/>
      </c>
    </row>
    <row r="7" ht="15" customHeight="1" s="53">
      <c r="A7" s="63" t="inlineStr">
        <is>
          <t>Total costs ($)</t>
        </is>
      </c>
      <c r="B7" s="91">
        <f>SUM(Costs!B19:M19)</f>
        <v/>
      </c>
      <c r="C7" s="91">
        <f>SUM(Costs!N19:Y19)</f>
        <v/>
      </c>
      <c r="D7" s="91">
        <f>SUM(Costs!Z19:AK19)</f>
        <v/>
      </c>
      <c r="E7" s="92">
        <f>B7+C7+D7</f>
        <v/>
      </c>
    </row>
    <row r="8" ht="15" customHeight="1" s="53">
      <c r="A8" s="63" t="inlineStr">
        <is>
          <t>EBITDA ($)</t>
        </is>
      </c>
      <c r="B8" s="91">
        <f>SUM('P&amp;L'!B7:M7)</f>
        <v/>
      </c>
      <c r="C8" s="91">
        <f>SUM('P&amp;L'!N7:Y7)</f>
        <v/>
      </c>
      <c r="D8" s="91">
        <f>SUM('P&amp;L'!Z7:AK7)</f>
        <v/>
      </c>
      <c r="E8" s="92">
        <f>B8+C8+D8</f>
        <v/>
      </c>
    </row>
    <row r="10" ht="15" customHeight="1" s="53">
      <c r="A10" s="63" t="inlineStr">
        <is>
          <t>Free users (end)</t>
        </is>
      </c>
      <c r="B10" s="86">
        <f>Users!M9</f>
        <v/>
      </c>
      <c r="C10" s="86">
        <f>Users!Y9</f>
        <v/>
      </c>
      <c r="D10" s="86">
        <f>Users!AK9</f>
        <v/>
      </c>
      <c r="E10" s="88">
        <f>D10</f>
        <v/>
      </c>
    </row>
    <row r="11" ht="15" customHeight="1" s="53">
      <c r="A11" s="63" t="inlineStr">
        <is>
          <t>Paid subscribers (end)</t>
        </is>
      </c>
      <c r="B11" s="86">
        <f>Users!M14</f>
        <v/>
      </c>
      <c r="C11" s="86">
        <f>Users!Y14</f>
        <v/>
      </c>
      <c r="D11" s="86">
        <f>Users!AK14</f>
        <v/>
      </c>
      <c r="E11" s="88">
        <f>D11</f>
        <v/>
      </c>
    </row>
    <row r="12" ht="15" customHeight="1" s="53">
      <c r="A12" s="63" t="inlineStr">
        <is>
          <t>Schools (end)</t>
        </is>
      </c>
      <c r="B12" s="86">
        <f>Users!M19</f>
        <v/>
      </c>
      <c r="C12" s="86">
        <f>Users!Y19</f>
        <v/>
      </c>
      <c r="D12" s="86">
        <f>Users!AK19</f>
        <v/>
      </c>
      <c r="E12" s="88">
        <f>D12</f>
        <v/>
      </c>
    </row>
    <row r="14" ht="15" customHeight="1" s="53">
      <c r="A14" s="59" t="inlineStr">
        <is>
          <t>Cumulative cash (end)</t>
        </is>
      </c>
      <c r="B14" s="84">
        <f>'P&amp;L'!M9</f>
        <v/>
      </c>
      <c r="C14" s="84">
        <f>'P&amp;L'!Y9</f>
        <v/>
      </c>
      <c r="D14" s="84">
        <f>'P&amp;L'!AK9</f>
        <v/>
      </c>
      <c r="E14" s="84">
        <f>D14</f>
        <v/>
      </c>
    </row>
    <row r="16" ht="15" customHeight="1" s="53">
      <c r="A16" s="98" t="inlineStr">
        <is>
          <t>UNIT ECONOMICS (END Y3)</t>
        </is>
      </c>
    </row>
    <row r="17" ht="15" customHeight="1" s="53">
      <c r="A17" s="52" t="inlineStr">
        <is>
          <t>ARPU (monthly, paid)</t>
        </is>
      </c>
      <c r="B17" s="99">
        <f>IFERROR('P&amp;L'!AK4/Users!AK14,0)</f>
        <v/>
      </c>
    </row>
    <row r="18" ht="15" customHeight="1" s="53">
      <c r="A18" s="52" t="inlineStr">
        <is>
          <t>Monthly churn</t>
        </is>
      </c>
      <c r="B18" s="100">
        <f>Assumptions!E16</f>
        <v/>
      </c>
    </row>
    <row r="19" ht="15" customHeight="1" s="53">
      <c r="A19" s="52" t="inlineStr">
        <is>
          <t>LTV per paid user ($)</t>
        </is>
      </c>
      <c r="B19" s="84">
        <f>IFERROR(B17/B18,0)</f>
        <v/>
      </c>
    </row>
    <row r="20" ht="15" customHeight="1" s="53">
      <c r="A20" s="52" t="inlineStr">
        <is>
          <t>Paid CAC ($/paid install)</t>
        </is>
      </c>
      <c r="B20" s="93">
        <f>IFERROR(SUM(Costs!Z11:AK11)/MAX(1,SUM(Users!Z5:AK5)),0)</f>
        <v/>
      </c>
    </row>
    <row r="21" ht="15" customHeight="1" s="53">
      <c r="A21" s="52" t="inlineStr">
        <is>
          <t>LTV : paid CAC ratio</t>
        </is>
      </c>
      <c r="B21" s="101">
        <f>IFERROR(B19/B20,0)</f>
        <v/>
      </c>
    </row>
    <row r="23" ht="15" customHeight="1" s="53">
      <c r="A23" s="98" t="inlineStr">
        <is>
          <t>BREAK-EVEN</t>
        </is>
      </c>
    </row>
    <row r="24" ht="15" customHeight="1" s="53">
      <c r="A24" s="52" t="inlineStr">
        <is>
          <t>First EBITDA-positive month</t>
        </is>
      </c>
      <c r="B24" s="90">
        <f>IFERROR(MATCH(TRUE(),INDEX('P&amp;L'!B7:AK7&gt;0,0),0),"Not in 36mo")</f>
        <v/>
      </c>
    </row>
    <row r="25" ht="15" customHeight="1" s="53">
      <c r="A25" s="52" t="inlineStr">
        <is>
          <t>Cash-positive month</t>
        </is>
      </c>
      <c r="B25" s="90">
        <f>IFERROR(MATCH(TRUE(),INDEX('P&amp;L'!B9:AK9&gt;0,0),0),"Not in 36mo")</f>
        <v/>
      </c>
    </row>
    <row r="26" ht="15" customHeight="1" s="53">
      <c r="A26" s="52" t="inlineStr">
        <is>
          <t>Peak cash burn</t>
        </is>
      </c>
      <c r="B26" s="84">
        <f>MIN('P&amp;L'!B9:AK9)</f>
        <v/>
      </c>
    </row>
    <row r="27" ht="15" customHeight="1" s="53">
      <c r="A27" s="58" t="inlineStr">
        <is>
          <t>→ Minimum funding required</t>
        </is>
      </c>
    </row>
    <row r="29" ht="15" customHeight="1" s="53">
      <c r="A29" s="98" t="inlineStr">
        <is>
          <t>STRATEGY-SPECIFIC RISKS</t>
        </is>
      </c>
    </row>
    <row r="30" ht="15" customHeight="1" s="53">
      <c r="A30" s="102" t="inlineStr">
        <is>
          <t>1. Tight-free strategy: small free pool, weak App Store ranking. Mitigate with strong paid marketing.</t>
        </is>
      </c>
    </row>
    <row r="31" ht="15" customHeight="1" s="53">
      <c r="A31" s="102" t="inlineStr">
        <is>
          <t>2. Negative reviews on paywall placement are likely. Monitor App Store reviews weekly in months 1-3.</t>
        </is>
      </c>
    </row>
    <row r="32" ht="15" customHeight="1" s="53">
      <c r="A32" s="102" t="inlineStr">
        <is>
          <t>3. Reduced organic growth means CAC is the dominant lever. Test multiple ad creatives early.</t>
        </is>
      </c>
    </row>
    <row r="33" ht="15" customHeight="1" s="53">
      <c r="A33" s="102" t="inlineStr">
        <is>
          <t>4. School B2B contribution is more important here than in generous-free. Don't underinvest in sales.</t>
        </is>
      </c>
    </row>
    <row r="34" ht="15" customHeight="1" s="53">
      <c r="A34" s="102" t="inlineStr">
        <is>
          <t>5. If conversion underperforms (under 4%), revisit free/paid split before month 6.</t>
        </is>
      </c>
    </row>
    <row r="35" ht="15" customHeight="1" s="53">
      <c r="A35" s="102" t="inlineStr">
        <is>
          <t>6. Founder at zero salary (Bear) is unsustainable past 6-9 months.</t>
        </is>
      </c>
    </row>
  </sheetData>
  <mergeCells count="10">
    <mergeCell ref="A30:E30"/>
    <mergeCell ref="A34:E34"/>
    <mergeCell ref="A29:E29"/>
    <mergeCell ref="A4:E4"/>
    <mergeCell ref="A35:E35"/>
    <mergeCell ref="A16:E16"/>
    <mergeCell ref="A33:E33"/>
    <mergeCell ref="A23:E23"/>
    <mergeCell ref="A32:E32"/>
    <mergeCell ref="A31:E3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2026-05-17T00:17:42Z</dcterms:created>
  <dcterms:modified xmlns:dcterms="http://purl.org/dc/terms/" xmlns:xsi="http://www.w3.org/2001/XMLSchema-instance" xsi:type="dcterms:W3CDTF">2026-05-19T01:44:50Z</dcterms:modified>
  <cp:revision>0</cp:revision>
</cp:coreProperties>
</file>